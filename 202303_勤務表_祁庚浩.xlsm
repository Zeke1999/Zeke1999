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70989969\HitachiXPC\Downloads\"/>
    </mc:Choice>
  </mc:AlternateContent>
  <xr:revisionPtr revIDLastSave="0" documentId="13_ncr:1_{AD9E0FA1-8C31-43E9-B3BA-88F452D0BB5C}" xr6:coauthVersionLast="47" xr6:coauthVersionMax="47" xr10:uidLastSave="{00000000-0000-0000-0000-000000000000}"/>
  <bookViews>
    <workbookView xWindow="-110" yWindow="-110" windowWidth="19420" windowHeight="10420" tabRatio="769" xr2:uid="{00000000-000D-0000-FFFF-FFFF00000000}"/>
  </bookViews>
  <sheets>
    <sheet name="勤務表_祁庚浩" sheetId="28" r:id="rId1"/>
    <sheet name="勤務表_二瓶 (2)" sheetId="35" state="hidden" r:id="rId2"/>
    <sheet name="勤務表_伊藤義 (2)" sheetId="37" state="hidden" r:id="rId3"/>
    <sheet name="勤務表_波形 (2)" sheetId="39" state="hidden" r:id="rId4"/>
    <sheet name="勤務表_本多 (2)" sheetId="41" state="hidden" r:id="rId5"/>
    <sheet name="勤務表_嘉味田" sheetId="32" state="hidden" r:id="rId6"/>
    <sheet name="【参考情報】勤務時間等" sheetId="17" r:id="rId7"/>
    <sheet name="【フォーマット】勤務表_○○" sheetId="22" r:id="rId8"/>
    <sheet name="勤務表_○○（記載例）" sheetId="42" r:id="rId9"/>
  </sheets>
  <definedNames>
    <definedName name="_xlnm.Print_Area" localSheetId="8">'勤務表_○○（記載例）'!$A$1:$H$36</definedName>
    <definedName name="_xlnm.Print_Area" localSheetId="2">'勤務表_伊藤義 (2)'!$A$1:$H$40</definedName>
    <definedName name="_xlnm.Print_Area" localSheetId="5">勤務表_嘉味田!$A$1:$H$36</definedName>
    <definedName name="_xlnm.Print_Area" localSheetId="0">勤務表_祁庚浩!$A$1:$H$36</definedName>
    <definedName name="_xlnm.Print_Area" localSheetId="1">'勤務表_二瓶 (2)'!$A$1:$H$36</definedName>
    <definedName name="_xlnm.Print_Area" localSheetId="3">'勤務表_波形 (2)'!$A$1:$H$36</definedName>
    <definedName name="_xlnm.Print_Area" localSheetId="4">'勤務表_本多 (2)'!$A$1:$H$36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5" i="28" l="1"/>
  <c r="A35" i="28"/>
  <c r="G36" i="42"/>
  <c r="F36" i="42"/>
  <c r="A5" i="42"/>
  <c r="A6" i="42" s="1"/>
  <c r="B6" i="42" l="1"/>
  <c r="A7" i="42"/>
  <c r="B5" i="42"/>
  <c r="A8" i="42" l="1"/>
  <c r="B7" i="42"/>
  <c r="B8" i="42" l="1"/>
  <c r="A9" i="42"/>
  <c r="A10" i="42" l="1"/>
  <c r="B9" i="42"/>
  <c r="B10" i="42" l="1"/>
  <c r="A11" i="42"/>
  <c r="A12" i="42" l="1"/>
  <c r="B11" i="42"/>
  <c r="B12" i="42" l="1"/>
  <c r="A13" i="42"/>
  <c r="A14" i="42" l="1"/>
  <c r="B13" i="42"/>
  <c r="B14" i="42" l="1"/>
  <c r="A15" i="42"/>
  <c r="A16" i="42" l="1"/>
  <c r="B15" i="42"/>
  <c r="B16" i="42" l="1"/>
  <c r="A17" i="42"/>
  <c r="A18" i="42" l="1"/>
  <c r="B17" i="42"/>
  <c r="B18" i="42" l="1"/>
  <c r="A19" i="42"/>
  <c r="A20" i="42" l="1"/>
  <c r="B19" i="42"/>
  <c r="B20" i="42" l="1"/>
  <c r="A21" i="42"/>
  <c r="A22" i="42" l="1"/>
  <c r="B21" i="42"/>
  <c r="B22" i="42" l="1"/>
  <c r="A23" i="42"/>
  <c r="A24" i="42" l="1"/>
  <c r="B23" i="42"/>
  <c r="B24" i="42" l="1"/>
  <c r="A25" i="42"/>
  <c r="A26" i="42" l="1"/>
  <c r="B25" i="42"/>
  <c r="B26" i="42" l="1"/>
  <c r="A27" i="42"/>
  <c r="A28" i="42" l="1"/>
  <c r="B27" i="42"/>
  <c r="B28" i="42" l="1"/>
  <c r="A29" i="42"/>
  <c r="A30" i="42" l="1"/>
  <c r="B29" i="42"/>
  <c r="B30" i="42" l="1"/>
  <c r="A31" i="42"/>
  <c r="A32" i="42" l="1"/>
  <c r="B31" i="42"/>
  <c r="B32" i="42" l="1"/>
  <c r="A33" i="42"/>
  <c r="A34" i="42" l="1"/>
  <c r="B34" i="42" s="1"/>
  <c r="B33" i="42"/>
  <c r="A5" i="28" l="1"/>
  <c r="A6" i="28" s="1"/>
  <c r="A7" i="28" l="1"/>
  <c r="B6" i="28"/>
  <c r="B5" i="28"/>
  <c r="A5" i="32"/>
  <c r="A6" i="32" s="1"/>
  <c r="B6" i="32" s="1"/>
  <c r="G36" i="41"/>
  <c r="F36" i="41"/>
  <c r="A5" i="41"/>
  <c r="A6" i="41" s="1"/>
  <c r="G36" i="39"/>
  <c r="F36" i="39"/>
  <c r="A5" i="39"/>
  <c r="A6" i="39" s="1"/>
  <c r="G36" i="37"/>
  <c r="F36" i="37"/>
  <c r="A5" i="37"/>
  <c r="A6" i="37" s="1"/>
  <c r="G36" i="35"/>
  <c r="F36" i="35"/>
  <c r="A5" i="35"/>
  <c r="B5" i="35" s="1"/>
  <c r="G36" i="32"/>
  <c r="F36" i="32"/>
  <c r="G36" i="28"/>
  <c r="F36" i="28"/>
  <c r="G36" i="22"/>
  <c r="F36" i="22"/>
  <c r="A5" i="22"/>
  <c r="B5" i="22" s="1"/>
  <c r="A8" i="28" l="1"/>
  <c r="B7" i="28"/>
  <c r="A6" i="22"/>
  <c r="A7" i="22" s="1"/>
  <c r="B7" i="22" s="1"/>
  <c r="B5" i="32"/>
  <c r="A6" i="35"/>
  <c r="A7" i="35" s="1"/>
  <c r="B7" i="35" s="1"/>
  <c r="A7" i="32"/>
  <c r="A7" i="41"/>
  <c r="B6" i="41"/>
  <c r="B5" i="41"/>
  <c r="A7" i="39"/>
  <c r="B6" i="39"/>
  <c r="B5" i="39"/>
  <c r="B6" i="37"/>
  <c r="A7" i="37"/>
  <c r="B5" i="37"/>
  <c r="A9" i="28" l="1"/>
  <c r="B8" i="28"/>
  <c r="A8" i="22"/>
  <c r="B8" i="22" s="1"/>
  <c r="B6" i="22"/>
  <c r="A8" i="35"/>
  <c r="B8" i="35" s="1"/>
  <c r="B6" i="35"/>
  <c r="B7" i="32"/>
  <c r="A8" i="32"/>
  <c r="A8" i="41"/>
  <c r="B7" i="41"/>
  <c r="A8" i="39"/>
  <c r="B7" i="39"/>
  <c r="A8" i="37"/>
  <c r="B7" i="37"/>
  <c r="A9" i="22" l="1"/>
  <c r="A10" i="22" s="1"/>
  <c r="A9" i="35"/>
  <c r="A10" i="35" s="1"/>
  <c r="A10" i="28"/>
  <c r="B9" i="28"/>
  <c r="B8" i="32"/>
  <c r="A9" i="32"/>
  <c r="A9" i="41"/>
  <c r="B8" i="41"/>
  <c r="A9" i="39"/>
  <c r="B8" i="39"/>
  <c r="A9" i="37"/>
  <c r="B8" i="37"/>
  <c r="B9" i="22"/>
  <c r="B9" i="35" l="1"/>
  <c r="A11" i="28"/>
  <c r="B10" i="28"/>
  <c r="A10" i="32"/>
  <c r="B9" i="32"/>
  <c r="A10" i="41"/>
  <c r="B9" i="41"/>
  <c r="A10" i="39"/>
  <c r="B9" i="39"/>
  <c r="B9" i="37"/>
  <c r="A10" i="37"/>
  <c r="A11" i="35"/>
  <c r="B10" i="35"/>
  <c r="B10" i="22"/>
  <c r="A11" i="22"/>
  <c r="A12" i="28" l="1"/>
  <c r="B11" i="28"/>
  <c r="B10" i="32"/>
  <c r="A11" i="32"/>
  <c r="A11" i="41"/>
  <c r="B10" i="41"/>
  <c r="A11" i="39"/>
  <c r="B10" i="39"/>
  <c r="A11" i="37"/>
  <c r="B10" i="37"/>
  <c r="A12" i="35"/>
  <c r="B11" i="35"/>
  <c r="A12" i="22"/>
  <c r="B11" i="22"/>
  <c r="A13" i="28" l="1"/>
  <c r="B12" i="28"/>
  <c r="A12" i="32"/>
  <c r="B11" i="32"/>
  <c r="A12" i="41"/>
  <c r="B11" i="41"/>
  <c r="A12" i="39"/>
  <c r="B11" i="39"/>
  <c r="A12" i="37"/>
  <c r="B11" i="37"/>
  <c r="A13" i="35"/>
  <c r="B12" i="35"/>
  <c r="A13" i="22"/>
  <c r="B12" i="22"/>
  <c r="A14" i="28" l="1"/>
  <c r="B13" i="28"/>
  <c r="B12" i="32"/>
  <c r="A13" i="32"/>
  <c r="A13" i="41"/>
  <c r="B12" i="41"/>
  <c r="A13" i="39"/>
  <c r="B12" i="39"/>
  <c r="B12" i="37"/>
  <c r="A13" i="37"/>
  <c r="A14" i="35"/>
  <c r="B13" i="35"/>
  <c r="B13" i="22"/>
  <c r="A14" i="22"/>
  <c r="A15" i="28" l="1"/>
  <c r="B15" i="28" s="1"/>
  <c r="B14" i="28"/>
  <c r="B13" i="32"/>
  <c r="A14" i="32"/>
  <c r="A14" i="41"/>
  <c r="B13" i="41"/>
  <c r="A14" i="39"/>
  <c r="B13" i="39"/>
  <c r="B13" i="37"/>
  <c r="A14" i="37"/>
  <c r="A15" i="35"/>
  <c r="B14" i="35"/>
  <c r="B14" i="22"/>
  <c r="A15" i="22"/>
  <c r="A16" i="28" l="1"/>
  <c r="A15" i="32"/>
  <c r="B14" i="32"/>
  <c r="A15" i="41"/>
  <c r="B14" i="41"/>
  <c r="A15" i="39"/>
  <c r="B14" i="39"/>
  <c r="A15" i="37"/>
  <c r="B14" i="37"/>
  <c r="A16" i="35"/>
  <c r="B15" i="35"/>
  <c r="A16" i="22"/>
  <c r="B15" i="22"/>
  <c r="A17" i="28" l="1"/>
  <c r="B16" i="28"/>
  <c r="A16" i="32"/>
  <c r="B15" i="32"/>
  <c r="A16" i="41"/>
  <c r="B15" i="41"/>
  <c r="A16" i="39"/>
  <c r="B15" i="39"/>
  <c r="B15" i="37"/>
  <c r="A16" i="37"/>
  <c r="A17" i="35"/>
  <c r="B16" i="35"/>
  <c r="A17" i="22"/>
  <c r="B16" i="22"/>
  <c r="A18" i="28" l="1"/>
  <c r="B17" i="28"/>
  <c r="B16" i="32"/>
  <c r="A17" i="32"/>
  <c r="A17" i="41"/>
  <c r="B16" i="41"/>
  <c r="A17" i="39"/>
  <c r="B16" i="39"/>
  <c r="A17" i="37"/>
  <c r="B16" i="37"/>
  <c r="A18" i="35"/>
  <c r="B17" i="35"/>
  <c r="B17" i="22"/>
  <c r="A18" i="22"/>
  <c r="A19" i="28" l="1"/>
  <c r="B18" i="28"/>
  <c r="B17" i="32"/>
  <c r="A18" i="32"/>
  <c r="A18" i="41"/>
  <c r="B17" i="41"/>
  <c r="A18" i="39"/>
  <c r="B17" i="39"/>
  <c r="B17" i="37"/>
  <c r="A18" i="37"/>
  <c r="B18" i="35"/>
  <c r="A19" i="35"/>
  <c r="B18" i="22"/>
  <c r="A19" i="22"/>
  <c r="A20" i="28" l="1"/>
  <c r="B19" i="28"/>
  <c r="B18" i="32"/>
  <c r="A19" i="32"/>
  <c r="A19" i="41"/>
  <c r="B18" i="41"/>
  <c r="A19" i="39"/>
  <c r="B18" i="39"/>
  <c r="B18" i="37"/>
  <c r="A19" i="37"/>
  <c r="A20" i="35"/>
  <c r="B19" i="35"/>
  <c r="A20" i="22"/>
  <c r="B19" i="22"/>
  <c r="A21" i="28" l="1"/>
  <c r="B20" i="28"/>
  <c r="B19" i="32"/>
  <c r="A20" i="32"/>
  <c r="A20" i="41"/>
  <c r="B19" i="41"/>
  <c r="A20" i="39"/>
  <c r="B19" i="39"/>
  <c r="B19" i="37"/>
  <c r="A20" i="37"/>
  <c r="A21" i="35"/>
  <c r="B20" i="35"/>
  <c r="A21" i="22"/>
  <c r="B20" i="22"/>
  <c r="A22" i="28" l="1"/>
  <c r="B21" i="28"/>
  <c r="A21" i="32"/>
  <c r="B20" i="32"/>
  <c r="A21" i="41"/>
  <c r="B20" i="41"/>
  <c r="A21" i="39"/>
  <c r="B20" i="39"/>
  <c r="A21" i="37"/>
  <c r="B20" i="37"/>
  <c r="A22" i="35"/>
  <c r="B21" i="35"/>
  <c r="B21" i="22"/>
  <c r="A22" i="22"/>
  <c r="A23" i="28" l="1"/>
  <c r="B22" i="28"/>
  <c r="A22" i="32"/>
  <c r="B21" i="32"/>
  <c r="A22" i="41"/>
  <c r="B21" i="41"/>
  <c r="A22" i="39"/>
  <c r="B21" i="39"/>
  <c r="B21" i="37"/>
  <c r="A22" i="37"/>
  <c r="A23" i="35"/>
  <c r="B22" i="35"/>
  <c r="B22" i="22"/>
  <c r="A23" i="22"/>
  <c r="A24" i="28" l="1"/>
  <c r="B23" i="28"/>
  <c r="B22" i="32"/>
  <c r="A23" i="32"/>
  <c r="A23" i="41"/>
  <c r="B22" i="41"/>
  <c r="A23" i="39"/>
  <c r="B22" i="39"/>
  <c r="A23" i="37"/>
  <c r="B22" i="37"/>
  <c r="A24" i="35"/>
  <c r="B23" i="35"/>
  <c r="B23" i="22"/>
  <c r="A24" i="22"/>
  <c r="A25" i="28" l="1"/>
  <c r="B25" i="28" s="1"/>
  <c r="B24" i="28"/>
  <c r="A24" i="32"/>
  <c r="B23" i="32"/>
  <c r="A24" i="41"/>
  <c r="B23" i="41"/>
  <c r="A24" i="39"/>
  <c r="B23" i="39"/>
  <c r="A24" i="37"/>
  <c r="B23" i="37"/>
  <c r="B24" i="35"/>
  <c r="A25" i="35"/>
  <c r="B24" i="22"/>
  <c r="A25" i="22"/>
  <c r="A26" i="28" l="1"/>
  <c r="A25" i="32"/>
  <c r="B24" i="32"/>
  <c r="A25" i="41"/>
  <c r="B24" i="41"/>
  <c r="A25" i="39"/>
  <c r="B24" i="39"/>
  <c r="B24" i="37"/>
  <c r="A25" i="37"/>
  <c r="A26" i="35"/>
  <c r="B25" i="35"/>
  <c r="B25" i="22"/>
  <c r="A26" i="22"/>
  <c r="A27" i="28" l="1"/>
  <c r="B27" i="28" s="1"/>
  <c r="B26" i="28"/>
  <c r="B25" i="32"/>
  <c r="A26" i="32"/>
  <c r="A26" i="41"/>
  <c r="B25" i="41"/>
  <c r="A26" i="39"/>
  <c r="B25" i="39"/>
  <c r="B25" i="37"/>
  <c r="A26" i="37"/>
  <c r="A27" i="35"/>
  <c r="B26" i="35"/>
  <c r="B26" i="22"/>
  <c r="A27" i="22"/>
  <c r="A28" i="28" l="1"/>
  <c r="A27" i="32"/>
  <c r="B26" i="32"/>
  <c r="A27" i="41"/>
  <c r="B26" i="41"/>
  <c r="A27" i="39"/>
  <c r="B26" i="39"/>
  <c r="A27" i="37"/>
  <c r="B26" i="37"/>
  <c r="A28" i="35"/>
  <c r="B27" i="35"/>
  <c r="B27" i="22"/>
  <c r="A28" i="22"/>
  <c r="A29" i="28" l="1"/>
  <c r="B28" i="28"/>
  <c r="A28" i="32"/>
  <c r="B27" i="32"/>
  <c r="A28" i="41"/>
  <c r="B27" i="41"/>
  <c r="A28" i="39"/>
  <c r="B27" i="39"/>
  <c r="B27" i="37"/>
  <c r="A28" i="37"/>
  <c r="A29" i="35"/>
  <c r="B28" i="35"/>
  <c r="B28" i="22"/>
  <c r="A29" i="22"/>
  <c r="A30" i="28" l="1"/>
  <c r="B29" i="28"/>
  <c r="B28" i="32"/>
  <c r="A29" i="32"/>
  <c r="A29" i="41"/>
  <c r="B28" i="41"/>
  <c r="A29" i="39"/>
  <c r="B28" i="39"/>
  <c r="A29" i="37"/>
  <c r="B28" i="37"/>
  <c r="A30" i="35"/>
  <c r="B29" i="35"/>
  <c r="B29" i="22"/>
  <c r="A30" i="22"/>
  <c r="A31" i="28" l="1"/>
  <c r="B30" i="28"/>
  <c r="A30" i="32"/>
  <c r="B29" i="32"/>
  <c r="A30" i="41"/>
  <c r="B29" i="41"/>
  <c r="A30" i="39"/>
  <c r="B29" i="39"/>
  <c r="A30" i="37"/>
  <c r="B29" i="37"/>
  <c r="B30" i="35"/>
  <c r="A31" i="35"/>
  <c r="A31" i="22"/>
  <c r="B30" i="22"/>
  <c r="A32" i="28" l="1"/>
  <c r="B31" i="28"/>
  <c r="A31" i="32"/>
  <c r="B30" i="32"/>
  <c r="A31" i="41"/>
  <c r="B30" i="41"/>
  <c r="A31" i="39"/>
  <c r="B30" i="39"/>
  <c r="B30" i="37"/>
  <c r="A31" i="37"/>
  <c r="A32" i="35"/>
  <c r="B31" i="35"/>
  <c r="A32" i="22"/>
  <c r="B31" i="22"/>
  <c r="B32" i="28" l="1"/>
  <c r="A33" i="28"/>
  <c r="B33" i="28" s="1"/>
  <c r="B31" i="32"/>
  <c r="A32" i="32"/>
  <c r="A32" i="41"/>
  <c r="B31" i="41"/>
  <c r="A32" i="39"/>
  <c r="B31" i="39"/>
  <c r="B31" i="37"/>
  <c r="A32" i="37"/>
  <c r="A33" i="35"/>
  <c r="B32" i="35"/>
  <c r="B32" i="22"/>
  <c r="A33" i="22"/>
  <c r="A34" i="28" l="1"/>
  <c r="A33" i="32"/>
  <c r="B32" i="32"/>
  <c r="A33" i="41"/>
  <c r="B32" i="41"/>
  <c r="A33" i="39"/>
  <c r="B32" i="39"/>
  <c r="A33" i="37"/>
  <c r="B32" i="37"/>
  <c r="B33" i="35"/>
  <c r="A34" i="35"/>
  <c r="B33" i="22"/>
  <c r="A34" i="22"/>
  <c r="B34" i="28" l="1"/>
  <c r="A34" i="32"/>
  <c r="B34" i="32" s="1"/>
  <c r="B33" i="32"/>
  <c r="A34" i="41"/>
  <c r="B33" i="41"/>
  <c r="A34" i="39"/>
  <c r="B33" i="39"/>
  <c r="B33" i="37"/>
  <c r="A34" i="37"/>
  <c r="A35" i="35"/>
  <c r="B35" i="35" s="1"/>
  <c r="B34" i="35"/>
  <c r="A35" i="22"/>
  <c r="B35" i="22" s="1"/>
  <c r="B34" i="22"/>
  <c r="A35" i="41" l="1"/>
  <c r="B35" i="41" s="1"/>
  <c r="B34" i="41"/>
  <c r="A35" i="39"/>
  <c r="B35" i="39" s="1"/>
  <c r="B34" i="39"/>
  <c r="A35" i="37"/>
  <c r="B35" i="37" s="1"/>
  <c r="B34" i="37"/>
</calcChain>
</file>

<file path=xl/sharedStrings.xml><?xml version="1.0" encoding="utf-8"?>
<sst xmlns="http://schemas.openxmlformats.org/spreadsheetml/2006/main" count="348" uniqueCount="62">
  <si>
    <t>勤務表月</t>
    <rPh sb="0" eb="2">
      <t>キンム</t>
    </rPh>
    <rPh sb="2" eb="3">
      <t>ヒョウ</t>
    </rPh>
    <rPh sb="3" eb="4">
      <t>ツキ</t>
    </rPh>
    <phoneticPr fontId="1"/>
  </si>
  <si>
    <t>月日</t>
    <rPh sb="0" eb="2">
      <t>ツキヒ</t>
    </rPh>
    <phoneticPr fontId="1"/>
  </si>
  <si>
    <t>曜日</t>
    <rPh sb="0" eb="2">
      <t>ヨウビ</t>
    </rPh>
    <phoneticPr fontId="1"/>
  </si>
  <si>
    <t>区分</t>
    <rPh sb="0" eb="2">
      <t>クブン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</si>
  <si>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</si>
  <si>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</si>
  <si>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</si>
  <si>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</si>
  <si>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作業時間</t>
    <rPh sb="0" eb="2">
      <t>サギョウ</t>
    </rPh>
    <rPh sb="2" eb="4">
      <t>ジカン</t>
    </rPh>
    <phoneticPr fontId="1"/>
  </si>
  <si>
    <t>残業</t>
    <rPh sb="0" eb="2">
      <t>ザンギョウ</t>
    </rPh>
    <phoneticPr fontId="1"/>
  </si>
  <si>
    <t>通常</t>
  </si>
  <si>
    <t>（勤務表記入方法）</t>
    <rPh sb="1" eb="3">
      <t>キンム</t>
    </rPh>
    <rPh sb="3" eb="4">
      <t>ヒョウ</t>
    </rPh>
    <rPh sb="4" eb="6">
      <t>キニュウ</t>
    </rPh>
    <rPh sb="6" eb="8">
      <t>ホウホウ</t>
    </rPh>
    <phoneticPr fontId="1"/>
  </si>
  <si>
    <t>①勤務表月に年月を入れると年月欄と曜日欄は自動更新。</t>
    <rPh sb="1" eb="3">
      <t>キンム</t>
    </rPh>
    <rPh sb="3" eb="4">
      <t>ヒョウ</t>
    </rPh>
    <rPh sb="4" eb="5">
      <t>ツキ</t>
    </rPh>
    <rPh sb="6" eb="8">
      <t>ネンゲツ</t>
    </rPh>
    <rPh sb="9" eb="10">
      <t>イ</t>
    </rPh>
    <rPh sb="13" eb="15">
      <t>ネンゲツ</t>
    </rPh>
    <rPh sb="15" eb="16">
      <t>ラン</t>
    </rPh>
    <rPh sb="17" eb="19">
      <t>ヨウビ</t>
    </rPh>
    <rPh sb="19" eb="20">
      <t>ラン</t>
    </rPh>
    <rPh sb="21" eb="23">
      <t>ジドウ</t>
    </rPh>
    <rPh sb="23" eb="25">
      <t>コウシン</t>
    </rPh>
    <phoneticPr fontId="1"/>
  </si>
  <si>
    <t>②区分欄（リストボックス）で通常、Ａ変、Ｅ変、Ｂ変、休出のいずれかを選択。</t>
    <rPh sb="1" eb="3">
      <t>クブン</t>
    </rPh>
    <rPh sb="3" eb="4">
      <t>ラン</t>
    </rPh>
    <rPh sb="14" eb="16">
      <t>ツウジョウ</t>
    </rPh>
    <rPh sb="18" eb="19">
      <t>ヘン</t>
    </rPh>
    <rPh sb="21" eb="22">
      <t>ヘン</t>
    </rPh>
    <rPh sb="24" eb="25">
      <t>ヘン</t>
    </rPh>
    <rPh sb="26" eb="28">
      <t>キュウシュツ</t>
    </rPh>
    <rPh sb="34" eb="36">
      <t>センタク</t>
    </rPh>
    <phoneticPr fontId="1"/>
  </si>
  <si>
    <t>　（区分欄選択で開始、終了、作業時間、残業がデフォルトで表示されます）</t>
    <rPh sb="2" eb="4">
      <t>クブン</t>
    </rPh>
    <rPh sb="4" eb="5">
      <t>ラン</t>
    </rPh>
    <rPh sb="5" eb="7">
      <t>センタク</t>
    </rPh>
    <rPh sb="8" eb="10">
      <t>カイシ</t>
    </rPh>
    <rPh sb="11" eb="13">
      <t>シュウリョウ</t>
    </rPh>
    <rPh sb="14" eb="16">
      <t>サギョウ</t>
    </rPh>
    <rPh sb="16" eb="18">
      <t>ジカン</t>
    </rPh>
    <rPh sb="19" eb="21">
      <t>ザンギョウ</t>
    </rPh>
    <rPh sb="28" eb="30">
      <t>ヒョウジ</t>
    </rPh>
    <phoneticPr fontId="1"/>
  </si>
  <si>
    <t>③残業時、【参考情報】勤務時間等シートを参考に、終了、作業時間、残業を直接記入して下さい。</t>
    <rPh sb="1" eb="3">
      <t>ザンギョウ</t>
    </rPh>
    <rPh sb="3" eb="4">
      <t>ジ</t>
    </rPh>
    <rPh sb="6" eb="8">
      <t>サンコウ</t>
    </rPh>
    <rPh sb="8" eb="10">
      <t>ジョウホウ</t>
    </rPh>
    <rPh sb="11" eb="13">
      <t>キンム</t>
    </rPh>
    <rPh sb="13" eb="15">
      <t>ジカン</t>
    </rPh>
    <rPh sb="15" eb="16">
      <t>ナド</t>
    </rPh>
    <rPh sb="20" eb="22">
      <t>サンコウ</t>
    </rPh>
    <rPh sb="24" eb="26">
      <t>シュウリョウ</t>
    </rPh>
    <rPh sb="27" eb="29">
      <t>サギョウ</t>
    </rPh>
    <rPh sb="29" eb="31">
      <t>ジカン</t>
    </rPh>
    <rPh sb="32" eb="34">
      <t>ザンギョウ</t>
    </rPh>
    <rPh sb="35" eb="37">
      <t>チョクセツ</t>
    </rPh>
    <rPh sb="37" eb="39">
      <t>キニュウ</t>
    </rPh>
    <rPh sb="41" eb="42">
      <t>クダ</t>
    </rPh>
    <phoneticPr fontId="1"/>
  </si>
  <si>
    <t>－</t>
    <phoneticPr fontId="1"/>
  </si>
  <si>
    <t>氏名：二瓶　光</t>
    <rPh sb="0" eb="2">
      <t>シメイ</t>
    </rPh>
    <rPh sb="3" eb="5">
      <t>ニヘイ</t>
    </rPh>
    <rPh sb="6" eb="7">
      <t>ヒカリ</t>
    </rPh>
    <phoneticPr fontId="1"/>
  </si>
  <si>
    <t>交通費（現地作業）</t>
    <rPh sb="0" eb="3">
      <t>コウツウヒ</t>
    </rPh>
    <rPh sb="4" eb="6">
      <t>ゲンチ</t>
    </rPh>
    <rPh sb="6" eb="8">
      <t>サギョウ</t>
    </rPh>
    <phoneticPr fontId="1"/>
  </si>
  <si>
    <t>休出</t>
  </si>
  <si>
    <t>休出（在宅勤務）</t>
    <rPh sb="0" eb="2">
      <t>キュウシュツ</t>
    </rPh>
    <rPh sb="3" eb="7">
      <t>ザイタクキンム</t>
    </rPh>
    <phoneticPr fontId="1"/>
  </si>
  <si>
    <t>交通費（本社）</t>
    <rPh sb="0" eb="3">
      <t>コウツウヒ</t>
    </rPh>
    <rPh sb="4" eb="6">
      <t>ホンシャ</t>
    </rPh>
    <phoneticPr fontId="1"/>
  </si>
  <si>
    <t>人間ドック</t>
    <rPh sb="0" eb="2">
      <t>ニンゲン</t>
    </rPh>
    <phoneticPr fontId="1"/>
  </si>
  <si>
    <t>氏名：伊藤　義彬</t>
    <rPh sb="0" eb="2">
      <t>シメイ</t>
    </rPh>
    <rPh sb="3" eb="5">
      <t>イトウ</t>
    </rPh>
    <rPh sb="6" eb="7">
      <t>ギ</t>
    </rPh>
    <rPh sb="7" eb="8">
      <t>アキラ</t>
    </rPh>
    <phoneticPr fontId="1"/>
  </si>
  <si>
    <t>ワクチン休暇</t>
    <phoneticPr fontId="1"/>
  </si>
  <si>
    <t>連絡事項</t>
    <rPh sb="0" eb="2">
      <t>レンラク</t>
    </rPh>
    <rPh sb="2" eb="4">
      <t>ジコウ</t>
    </rPh>
    <phoneticPr fontId="1"/>
  </si>
  <si>
    <t>　7月の残業超過分（10時間）は，含めていません。</t>
    <rPh sb="2" eb="3">
      <t>ガツ</t>
    </rPh>
    <rPh sb="4" eb="6">
      <t>ザンギョウ</t>
    </rPh>
    <rPh sb="6" eb="8">
      <t>チョウカ</t>
    </rPh>
    <rPh sb="8" eb="9">
      <t>ブン</t>
    </rPh>
    <rPh sb="12" eb="14">
      <t>ジカン</t>
    </rPh>
    <rPh sb="17" eb="18">
      <t>フク</t>
    </rPh>
    <phoneticPr fontId="1"/>
  </si>
  <si>
    <t>　7月22日，7月23日，9月23日の代休残</t>
    <rPh sb="2" eb="3">
      <t>ガツ</t>
    </rPh>
    <rPh sb="5" eb="6">
      <t>ニチ</t>
    </rPh>
    <rPh sb="8" eb="9">
      <t>ガツ</t>
    </rPh>
    <rPh sb="11" eb="12">
      <t>ニチ</t>
    </rPh>
    <rPh sb="14" eb="15">
      <t>ガツ</t>
    </rPh>
    <rPh sb="17" eb="18">
      <t>ニチ</t>
    </rPh>
    <rPh sb="19" eb="21">
      <t>ダイキュウ</t>
    </rPh>
    <rPh sb="21" eb="22">
      <t>ザン</t>
    </rPh>
    <phoneticPr fontId="1"/>
  </si>
  <si>
    <t>氏名：波形　航平</t>
    <rPh sb="0" eb="2">
      <t>シメイ</t>
    </rPh>
    <rPh sb="3" eb="5">
      <t>ハケイ</t>
    </rPh>
    <rPh sb="6" eb="8">
      <t>コウヘイ</t>
    </rPh>
    <phoneticPr fontId="1"/>
  </si>
  <si>
    <t>現地作業（霞ヶ関）</t>
  </si>
  <si>
    <t>●在宅勤務</t>
  </si>
  <si>
    <r>
      <t>※</t>
    </r>
    <r>
      <rPr>
        <sz val="11"/>
        <rFont val="游ゴシック"/>
        <family val="1"/>
        <charset val="128"/>
      </rPr>
      <t>電車遅延の為-1.5h</t>
    </r>
    <rPh sb="1" eb="5">
      <t>デンシャチエン</t>
    </rPh>
    <rPh sb="6" eb="7">
      <t>タメ</t>
    </rPh>
    <phoneticPr fontId="1"/>
  </si>
  <si>
    <t>年休（ワクチン接種1回目）</t>
    <rPh sb="0" eb="2">
      <t>ネンキュウ</t>
    </rPh>
    <rPh sb="7" eb="9">
      <t>セッシュ</t>
    </rPh>
    <rPh sb="10" eb="12">
      <t>カイメ</t>
    </rPh>
    <phoneticPr fontId="1"/>
  </si>
  <si>
    <t>●在宅勤務</t>
    <phoneticPr fontId="1"/>
  </si>
  <si>
    <t>氏名：本多　優衣</t>
    <rPh sb="0" eb="2">
      <t>シメイ</t>
    </rPh>
    <rPh sb="3" eb="5">
      <t>ホンダ</t>
    </rPh>
    <rPh sb="6" eb="8">
      <t>ユイ</t>
    </rPh>
    <phoneticPr fontId="1"/>
  </si>
  <si>
    <t>●在宅勤務</t>
    <rPh sb="1" eb="3">
      <t>ザイタク</t>
    </rPh>
    <rPh sb="3" eb="5">
      <t>キンム</t>
    </rPh>
    <phoneticPr fontId="1"/>
  </si>
  <si>
    <t>休出</t>
    <rPh sb="0" eb="2">
      <t>キュウシュツ</t>
    </rPh>
    <phoneticPr fontId="1"/>
  </si>
  <si>
    <t>休出（在宅勤務）</t>
    <rPh sb="0" eb="2">
      <t>キュウシュツ</t>
    </rPh>
    <rPh sb="3" eb="5">
      <t>ザイタク</t>
    </rPh>
    <rPh sb="5" eb="7">
      <t>キンム</t>
    </rPh>
    <phoneticPr fontId="1"/>
  </si>
  <si>
    <t>PM健康診断（東新宿）</t>
    <rPh sb="2" eb="6">
      <t>ケンコウシンダン</t>
    </rPh>
    <rPh sb="7" eb="10">
      <t>ヒガシシンジュク</t>
    </rPh>
    <phoneticPr fontId="1"/>
  </si>
  <si>
    <t>電車遅延（-0.5H）</t>
    <rPh sb="0" eb="4">
      <t>デンシャチエン</t>
    </rPh>
    <phoneticPr fontId="1"/>
  </si>
  <si>
    <t>氏名：嘉味田　一也</t>
    <rPh sb="0" eb="2">
      <t>シメイ</t>
    </rPh>
    <rPh sb="7" eb="9">
      <t>カズヤ</t>
    </rPh>
    <phoneticPr fontId="1"/>
  </si>
  <si>
    <t>勤務区分</t>
    <rPh sb="0" eb="2">
      <t>キンム</t>
    </rPh>
    <rPh sb="2" eb="4">
      <t>クブン</t>
    </rPh>
    <phoneticPr fontId="5"/>
  </si>
  <si>
    <t>始業時刻</t>
    <rPh sb="0" eb="2">
      <t>シギョウ</t>
    </rPh>
    <rPh sb="2" eb="4">
      <t>ジコク</t>
    </rPh>
    <phoneticPr fontId="1"/>
  </si>
  <si>
    <t>終業時刻</t>
    <rPh sb="0" eb="2">
      <t>シュウギョウ</t>
    </rPh>
    <rPh sb="2" eb="4">
      <t>ジコク</t>
    </rPh>
    <phoneticPr fontId="1"/>
  </si>
  <si>
    <t>直接作業
時間</t>
    <rPh sb="0" eb="2">
      <t>チョクセツ</t>
    </rPh>
    <rPh sb="2" eb="4">
      <t>サギョウ</t>
    </rPh>
    <rPh sb="5" eb="7">
      <t>ジカン</t>
    </rPh>
    <phoneticPr fontId="1"/>
  </si>
  <si>
    <t>超過勤務
時間</t>
    <rPh sb="0" eb="2">
      <t>チョウカ</t>
    </rPh>
    <rPh sb="2" eb="4">
      <t>キンム</t>
    </rPh>
    <rPh sb="5" eb="7">
      <t>ジカン</t>
    </rPh>
    <phoneticPr fontId="1"/>
  </si>
  <si>
    <t>深夜超過
時間</t>
    <rPh sb="0" eb="2">
      <t>シンヤ</t>
    </rPh>
    <rPh sb="2" eb="4">
      <t>チョウカ</t>
    </rPh>
    <rPh sb="5" eb="7">
      <t>ジカン</t>
    </rPh>
    <phoneticPr fontId="1"/>
  </si>
  <si>
    <t>昼休み
開始時刻</t>
    <rPh sb="0" eb="2">
      <t>ヒルヤス</t>
    </rPh>
    <rPh sb="4" eb="6">
      <t>カイシ</t>
    </rPh>
    <rPh sb="6" eb="8">
      <t>ジコク</t>
    </rPh>
    <phoneticPr fontId="5"/>
  </si>
  <si>
    <t>昼休み
終了時刻</t>
    <rPh sb="0" eb="2">
      <t>ヒルヤス</t>
    </rPh>
    <rPh sb="4" eb="6">
      <t>シュウリョウ</t>
    </rPh>
    <rPh sb="6" eb="8">
      <t>ジコク</t>
    </rPh>
    <phoneticPr fontId="5"/>
  </si>
  <si>
    <t>通常</t>
    <rPh sb="0" eb="2">
      <t>ツウジョウ</t>
    </rPh>
    <phoneticPr fontId="5"/>
  </si>
  <si>
    <t>Ａ変</t>
    <rPh sb="1" eb="2">
      <t>ヘン</t>
    </rPh>
    <phoneticPr fontId="5"/>
  </si>
  <si>
    <t>Ｅ変</t>
    <rPh sb="1" eb="2">
      <t>ヘン</t>
    </rPh>
    <phoneticPr fontId="5"/>
  </si>
  <si>
    <t>Ｂ変</t>
    <rPh sb="1" eb="2">
      <t>ヘン</t>
    </rPh>
    <phoneticPr fontId="5"/>
  </si>
  <si>
    <t>氏名：○○　○○</t>
    <rPh sb="0" eb="2">
      <t>シメイ</t>
    </rPh>
    <phoneticPr fontId="1"/>
  </si>
  <si>
    <t>昭和の日</t>
    <rPh sb="0" eb="2">
      <t>ショウワ</t>
    </rPh>
    <rPh sb="3" eb="4">
      <t>ヒ</t>
    </rPh>
    <phoneticPr fontId="1"/>
  </si>
  <si>
    <t>19;30</t>
    <phoneticPr fontId="1"/>
  </si>
  <si>
    <t>有給のため</t>
    <rPh sb="0" eb="2">
      <t>ユウキュウ</t>
    </rPh>
    <phoneticPr fontId="1"/>
  </si>
  <si>
    <t>帰社のため(不稼働2:30)</t>
    <rPh sb="0" eb="2">
      <t>キシャ</t>
    </rPh>
    <rPh sb="6" eb="9">
      <t>フカドウ</t>
    </rPh>
    <phoneticPr fontId="1"/>
  </si>
  <si>
    <t>面接のため(不稼働4:45)</t>
    <rPh sb="0" eb="2">
      <t>メンセツ</t>
    </rPh>
    <rPh sb="6" eb="9">
      <t>フカドウ</t>
    </rPh>
    <phoneticPr fontId="1"/>
  </si>
  <si>
    <t>帰社のため(不稼働4:45)</t>
    <rPh sb="0" eb="2">
      <t>キシャ</t>
    </rPh>
    <rPh sb="6" eb="9">
      <t>フカドウ</t>
    </rPh>
    <phoneticPr fontId="1"/>
  </si>
  <si>
    <t>氏名：○○○○</t>
    <rPh sb="0" eb="2">
      <t>シメイ</t>
    </rPh>
    <phoneticPr fontId="1"/>
  </si>
  <si>
    <t>氏名：祁庚浩</t>
    <rPh sb="0" eb="2">
      <t>シメイ</t>
    </rPh>
    <rPh sb="3" eb="6">
      <t>キコウコウ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</si>
</sst>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m&quot;月&quot;d&quot;日&quot;;@"/>
    <numFmt numFmtId="178" formatCode="aaa"/>
    <numFmt numFmtId="179" formatCode="[h]:mm"/>
    <numFmt numFmtId="180" formatCode="[h]:mm;;"/>
    <numFmt numFmtId="181" formatCode="yyyy/m"/>
  </numFmts>
  <fonts count="1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u/>
      <sz val="11"/>
      <name val="ＭＳ 明朝"/>
      <family val="1"/>
      <charset val="128"/>
    </font>
    <font>
      <sz val="11"/>
      <color rgb="FFFF0000"/>
      <name val="ＭＳ 明朝"/>
      <family val="1"/>
      <charset val="128"/>
    </font>
    <font>
      <b/>
      <sz val="11"/>
      <color rgb="FFFF0000"/>
      <name val="ＭＳ 明朝"/>
      <family val="1"/>
      <charset val="128"/>
    </font>
    <font>
      <sz val="11"/>
      <name val="游ゴシック"/>
      <family val="1"/>
      <charset val="128"/>
    </font>
    <font>
      <sz val="11"/>
      <color theme="1"/>
      <name val="ＭＳ 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/>
  </cellStyleXfs>
  <cellXfs count="38">
    <xf numFmtId="0" fontId="0" fillId="0" borderId="0" xfId="0"/>
    <xf numFmtId="0" fontId="4" fillId="2" borderId="1" xfId="1" applyFont="1" applyFill="1" applyBorder="1" applyAlignment="1">
      <alignment horizontal="center" vertical="center" wrapText="1"/>
    </xf>
    <xf numFmtId="0" fontId="3" fillId="0" borderId="0" xfId="1">
      <alignment vertical="center"/>
    </xf>
    <xf numFmtId="0" fontId="3" fillId="0" borderId="2" xfId="1" applyBorder="1" applyAlignment="1">
      <alignment horizontal="left" vertical="center"/>
    </xf>
    <xf numFmtId="179" fontId="4" fillId="0" borderId="1" xfId="1" quotePrefix="1" applyNumberFormat="1" applyFont="1" applyBorder="1" applyAlignment="1">
      <alignment horizontal="center" vertical="center"/>
    </xf>
    <xf numFmtId="180" fontId="4" fillId="0" borderId="1" xfId="1" quotePrefix="1" applyNumberFormat="1" applyFont="1" applyBorder="1" applyAlignment="1">
      <alignment horizontal="center" vertical="center"/>
    </xf>
    <xf numFmtId="0" fontId="3" fillId="0" borderId="3" xfId="1" applyBorder="1">
      <alignment vertical="center"/>
    </xf>
    <xf numFmtId="0" fontId="3" fillId="0" borderId="4" xfId="1" applyBorder="1">
      <alignment vertical="center"/>
    </xf>
    <xf numFmtId="20" fontId="4" fillId="0" borderId="1" xfId="1" quotePrefix="1" applyNumberFormat="1" applyFont="1" applyBorder="1" applyAlignment="1">
      <alignment horizontal="center" vertical="center"/>
    </xf>
    <xf numFmtId="0" fontId="6" fillId="0" borderId="0" xfId="0" applyFont="1"/>
    <xf numFmtId="176" fontId="6" fillId="0" borderId="0" xfId="0" applyNumberFormat="1" applyFont="1"/>
    <xf numFmtId="178" fontId="6" fillId="0" borderId="0" xfId="0" applyNumberFormat="1" applyFont="1"/>
    <xf numFmtId="176" fontId="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vertical="center"/>
    </xf>
    <xf numFmtId="56" fontId="6" fillId="0" borderId="1" xfId="0" applyNumberFormat="1" applyFont="1" applyBorder="1" applyAlignment="1">
      <alignment horizontal="center" vertical="center"/>
    </xf>
    <xf numFmtId="20" fontId="6" fillId="0" borderId="0" xfId="0" applyNumberFormat="1" applyFont="1"/>
    <xf numFmtId="178" fontId="6" fillId="3" borderId="1" xfId="0" applyNumberFormat="1" applyFont="1" applyFill="1" applyBorder="1" applyAlignment="1">
      <alignment horizontal="center" vertical="center"/>
    </xf>
    <xf numFmtId="181" fontId="6" fillId="3" borderId="1" xfId="0" applyNumberFormat="1" applyFont="1" applyFill="1" applyBorder="1" applyAlignment="1">
      <alignment vertical="center"/>
    </xf>
    <xf numFmtId="179" fontId="6" fillId="0" borderId="1" xfId="0" applyNumberFormat="1" applyFont="1" applyBorder="1" applyAlignment="1">
      <alignment vertical="center"/>
    </xf>
    <xf numFmtId="20" fontId="6" fillId="0" borderId="1" xfId="0" applyNumberFormat="1" applyFont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8" fontId="6" fillId="4" borderId="1" xfId="0" applyNumberFormat="1" applyFont="1" applyFill="1" applyBorder="1" applyAlignment="1">
      <alignment horizontal="center" vertical="center"/>
    </xf>
    <xf numFmtId="179" fontId="6" fillId="4" borderId="1" xfId="0" applyNumberFormat="1" applyFont="1" applyFill="1" applyBorder="1" applyAlignment="1">
      <alignment horizontal="center" vertical="center"/>
    </xf>
    <xf numFmtId="178" fontId="8" fillId="3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8" fillId="0" borderId="0" xfId="0" applyFont="1"/>
    <xf numFmtId="0" fontId="9" fillId="0" borderId="0" xfId="0" applyFont="1"/>
    <xf numFmtId="0" fontId="6" fillId="0" borderId="1" xfId="0" applyFont="1" applyBorder="1" applyAlignment="1">
      <alignment horizontal="center" vertical="center"/>
    </xf>
    <xf numFmtId="177" fontId="8" fillId="3" borderId="1" xfId="0" applyNumberFormat="1" applyFont="1" applyFill="1" applyBorder="1" applyAlignment="1">
      <alignment horizontal="center" vertical="center"/>
    </xf>
    <xf numFmtId="179" fontId="11" fillId="0" borderId="1" xfId="1" quotePrefix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178" fontId="6" fillId="0" borderId="1" xfId="0" applyNumberFormat="1" applyFont="1" applyBorder="1" applyAlignment="1">
      <alignment horizontal="center" vertical="center" textRotation="255"/>
    </xf>
    <xf numFmtId="178" fontId="6" fillId="0" borderId="2" xfId="0" applyNumberFormat="1" applyFont="1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</cellXfs>
  <cellStyles count="4">
    <cellStyle name="標準" xfId="0" builtinId="0"/>
    <cellStyle name="標準 2" xfId="1" xr:uid="{00000000-0005-0000-0000-000001000000}"/>
    <cellStyle name="標準 3" xfId="2" xr:uid="{00000000-0005-0000-0000-000002000000}"/>
    <cellStyle name="標準 4" xfId="3" xr:uid="{00000000-0005-0000-0000-000003000000}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0000FF"/>
      <color rgb="FFFFFFCC"/>
      <color rgb="FF99C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7"/>
  <sheetViews>
    <sheetView tabSelected="1" view="pageBreakPreview" zoomScaleNormal="100" zoomScaleSheetLayoutView="100" workbookViewId="0">
      <selection activeCell="D3" sqref="D3:G3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61</v>
      </c>
      <c r="B1" s="34"/>
      <c r="C1" s="34"/>
      <c r="D1" s="34"/>
      <c r="E1" s="14" t="s">
        <v>0</v>
      </c>
      <c r="F1" s="18">
        <v>44986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  <c r="I4" s="28"/>
    </row>
    <row r="5" spans="1:12" ht="18" customHeight="1">
      <c r="A5" s="21">
        <f>F1</f>
        <v>44986</v>
      </c>
      <c r="B5" s="17">
        <f>IF(A5="","",WEEKDAY(A5))</f>
        <v>4</v>
      </c>
      <c r="C5" s="13" t="s">
        <v>10</v>
      </c>
      <c r="D5" s="4">
        <v>0.375</v>
      </c>
      <c r="E5" s="4">
        <v>0.8125</v>
      </c>
      <c r="F5" s="4">
        <v>0.38541666666666669</v>
      </c>
      <c r="G5" s="5">
        <v>6.25E-2</v>
      </c>
      <c r="H5" s="13"/>
      <c r="I5" s="28"/>
      <c r="J5" s="9" t="s">
        <v>11</v>
      </c>
    </row>
    <row r="6" spans="1:12" ht="18" customHeight="1">
      <c r="A6" s="21">
        <f>A5+1</f>
        <v>44987</v>
      </c>
      <c r="B6" s="17">
        <f t="shared" ref="B6:B35" si="0">IF(A6="","",WEEKDAY(A6))</f>
        <v>5</v>
      </c>
      <c r="C6" s="13" t="s">
        <v>10</v>
      </c>
      <c r="D6" s="4">
        <v>0.375</v>
      </c>
      <c r="E6" s="4">
        <v>0.8125</v>
      </c>
      <c r="F6" s="4">
        <v>0.38541666666666669</v>
      </c>
      <c r="G6" s="5">
        <v>6.25E-2</v>
      </c>
      <c r="H6" s="13"/>
      <c r="I6" s="28"/>
      <c r="J6" s="9" t="s">
        <v>12</v>
      </c>
    </row>
    <row r="7" spans="1:12" ht="18" customHeight="1">
      <c r="A7" s="21">
        <f t="shared" ref="A7:A35" si="1">A6+1</f>
        <v>44988</v>
      </c>
      <c r="B7" s="17">
        <f t="shared" si="0"/>
        <v>6</v>
      </c>
      <c r="C7" s="13" t="s">
        <v>10</v>
      </c>
      <c r="D7" s="4">
        <v>0.375</v>
      </c>
      <c r="E7" s="4">
        <v>0.8125</v>
      </c>
      <c r="F7" s="4">
        <v>0.38541666666666669</v>
      </c>
      <c r="G7" s="5">
        <v>6.25E-2</v>
      </c>
      <c r="H7" s="13"/>
      <c r="I7" s="28"/>
      <c r="J7" s="9" t="s">
        <v>13</v>
      </c>
    </row>
    <row r="8" spans="1:12" ht="18" customHeight="1">
      <c r="A8" s="21">
        <f t="shared" si="1"/>
        <v>44989</v>
      </c>
      <c r="B8" s="17">
        <f t="shared" si="0"/>
        <v>7</v>
      </c>
      <c r="C8" s="13"/>
      <c r="D8" s="13"/>
      <c r="E8" s="13"/>
      <c r="F8" s="13"/>
      <c r="G8" s="13"/>
      <c r="H8" s="13"/>
      <c r="I8" s="28"/>
      <c r="J8" s="9" t="s">
        <v>14</v>
      </c>
    </row>
    <row r="9" spans="1:12" ht="18" customHeight="1">
      <c r="A9" s="21">
        <f t="shared" si="1"/>
        <v>44990</v>
      </c>
      <c r="B9" s="17">
        <f t="shared" si="0"/>
        <v>1</v>
      </c>
      <c r="C9" s="13"/>
      <c r="D9" s="13"/>
      <c r="E9" s="13"/>
      <c r="F9" s="13"/>
      <c r="G9" s="13"/>
      <c r="H9" s="13"/>
      <c r="I9" s="28"/>
      <c r="J9" s="9" t="s">
        <v>15</v>
      </c>
    </row>
    <row r="10" spans="1:12" ht="18" customHeight="1">
      <c r="A10" s="21">
        <f t="shared" si="1"/>
        <v>44991</v>
      </c>
      <c r="B10" s="17">
        <f t="shared" si="0"/>
        <v>2</v>
      </c>
      <c r="C10" s="13" t="s">
        <v>10</v>
      </c>
      <c r="D10" s="4">
        <v>0.375</v>
      </c>
      <c r="E10" s="4">
        <v>0.72916666666666663</v>
      </c>
      <c r="F10" s="4">
        <v>0.38541666666666669</v>
      </c>
      <c r="G10" s="5">
        <v>6.25E-2</v>
      </c>
      <c r="H10" s="13"/>
      <c r="I10" s="28"/>
    </row>
    <row r="11" spans="1:12" ht="18" customHeight="1">
      <c r="A11" s="21">
        <f t="shared" si="1"/>
        <v>44992</v>
      </c>
      <c r="B11" s="17">
        <f t="shared" si="0"/>
        <v>3</v>
      </c>
      <c r="C11" s="13" t="s">
        <v>10</v>
      </c>
      <c r="D11" s="4">
        <v>0.375</v>
      </c>
      <c r="E11" s="4">
        <v>0.79166666666666663</v>
      </c>
      <c r="F11" s="4">
        <v>0.38541666666666669</v>
      </c>
      <c r="G11" s="5">
        <v>6.25E-2</v>
      </c>
      <c r="H11" s="13"/>
      <c r="I11" s="28"/>
      <c r="L11" s="16"/>
    </row>
    <row r="12" spans="1:12" ht="18" customHeight="1">
      <c r="A12" s="21">
        <f t="shared" si="1"/>
        <v>44993</v>
      </c>
      <c r="B12" s="17">
        <f t="shared" si="0"/>
        <v>4</v>
      </c>
      <c r="C12" s="13" t="s">
        <v>10</v>
      </c>
      <c r="D12" s="4">
        <v>0.375</v>
      </c>
      <c r="E12" s="4">
        <v>0.8125</v>
      </c>
      <c r="F12" s="4">
        <v>0.38541666666666669</v>
      </c>
      <c r="G12" s="5">
        <v>6.25E-2</v>
      </c>
      <c r="H12" s="13"/>
      <c r="I12" s="28"/>
      <c r="L12" s="16"/>
    </row>
    <row r="13" spans="1:12" ht="18" customHeight="1">
      <c r="A13" s="21">
        <f t="shared" si="1"/>
        <v>44994</v>
      </c>
      <c r="B13" s="17">
        <f t="shared" si="0"/>
        <v>5</v>
      </c>
      <c r="C13" s="13" t="s">
        <v>10</v>
      </c>
      <c r="D13" s="4">
        <v>0.375</v>
      </c>
      <c r="E13" s="4">
        <v>0.79166666666666663</v>
      </c>
      <c r="F13" s="4">
        <v>0.38541666666666669</v>
      </c>
      <c r="G13" s="5">
        <v>6.25E-2</v>
      </c>
      <c r="H13" s="13"/>
      <c r="I13" s="28"/>
      <c r="L13" s="16"/>
    </row>
    <row r="14" spans="1:12" ht="18" customHeight="1">
      <c r="A14" s="21">
        <f t="shared" si="1"/>
        <v>44995</v>
      </c>
      <c r="B14" s="17">
        <f t="shared" si="0"/>
        <v>6</v>
      </c>
      <c r="C14" s="13" t="s">
        <v>10</v>
      </c>
      <c r="D14" s="4">
        <v>0.375</v>
      </c>
      <c r="E14" s="4">
        <v>0.8125</v>
      </c>
      <c r="F14" s="4">
        <v>0.38541666666666669</v>
      </c>
      <c r="G14" s="5">
        <v>6.25E-2</v>
      </c>
      <c r="H14" s="13"/>
      <c r="I14" s="28"/>
    </row>
    <row r="15" spans="1:12" ht="18" customHeight="1">
      <c r="A15" s="21">
        <f t="shared" si="1"/>
        <v>44996</v>
      </c>
      <c r="B15" s="17">
        <f t="shared" si="0"/>
        <v>7</v>
      </c>
      <c r="C15" s="13"/>
      <c r="D15" s="13"/>
      <c r="E15" s="13"/>
      <c r="F15" s="13"/>
      <c r="G15" s="13"/>
      <c r="H15" s="13"/>
      <c r="I15" s="28"/>
    </row>
    <row r="16" spans="1:12" ht="18" customHeight="1">
      <c r="A16" s="21">
        <f t="shared" si="1"/>
        <v>44997</v>
      </c>
      <c r="B16" s="17">
        <f t="shared" si="0"/>
        <v>1</v>
      </c>
      <c r="C16" s="13"/>
      <c r="D16" s="13"/>
      <c r="E16" s="13"/>
      <c r="F16" s="13"/>
      <c r="G16" s="13"/>
      <c r="H16" s="13"/>
      <c r="I16" s="28"/>
    </row>
    <row r="17" spans="1:9" ht="18" customHeight="1">
      <c r="A17" s="21">
        <f t="shared" si="1"/>
        <v>44998</v>
      </c>
      <c r="B17" s="17">
        <f t="shared" si="0"/>
        <v>2</v>
      </c>
      <c r="C17" s="13" t="s">
        <v>10</v>
      </c>
      <c r="D17" s="4">
        <v>0.375</v>
      </c>
      <c r="E17" s="4">
        <v>0.85416666666666663</v>
      </c>
      <c r="F17" s="4">
        <v>0.42708333333333331</v>
      </c>
      <c r="G17" s="5">
        <v>0.10416666666666667</v>
      </c>
      <c r="H17" s="13"/>
      <c r="I17" s="28"/>
    </row>
    <row r="18" spans="1:9" ht="18" customHeight="1">
      <c r="A18" s="21">
        <f t="shared" si="1"/>
        <v>44999</v>
      </c>
      <c r="B18" s="17">
        <f t="shared" si="0"/>
        <v>3</v>
      </c>
      <c r="C18" s="13" t="s">
        <v>10</v>
      </c>
      <c r="D18" s="4">
        <v>0.375</v>
      </c>
      <c r="E18" s="4">
        <v>0.8125</v>
      </c>
      <c r="F18" s="4">
        <v>0.38541666666666669</v>
      </c>
      <c r="G18" s="5">
        <v>6.25E-2</v>
      </c>
      <c r="H18" s="5"/>
      <c r="I18" s="28"/>
    </row>
    <row r="19" spans="1:9" ht="18" customHeight="1">
      <c r="A19" s="21">
        <f t="shared" si="1"/>
        <v>45000</v>
      </c>
      <c r="B19" s="17">
        <f t="shared" si="0"/>
        <v>4</v>
      </c>
      <c r="C19" s="13" t="s">
        <v>10</v>
      </c>
      <c r="D19" s="4">
        <v>0.375</v>
      </c>
      <c r="E19" s="4">
        <v>0.72916666666666663</v>
      </c>
      <c r="F19" s="4">
        <v>0.38541666666666669</v>
      </c>
      <c r="G19" s="5">
        <v>6.25E-2</v>
      </c>
      <c r="H19" s="26"/>
      <c r="I19" s="28"/>
    </row>
    <row r="20" spans="1:9" ht="18" customHeight="1">
      <c r="A20" s="21">
        <f t="shared" si="1"/>
        <v>45001</v>
      </c>
      <c r="B20" s="17">
        <f t="shared" si="0"/>
        <v>5</v>
      </c>
      <c r="C20" s="13" t="s">
        <v>10</v>
      </c>
      <c r="D20" s="4">
        <v>0.375</v>
      </c>
      <c r="E20" s="4">
        <v>0.72916666666666663</v>
      </c>
      <c r="F20" s="4">
        <v>0.38541666666666669</v>
      </c>
      <c r="G20" s="5">
        <v>6.25E-2</v>
      </c>
      <c r="H20" s="26"/>
      <c r="I20" s="28"/>
    </row>
    <row r="21" spans="1:9" ht="18" customHeight="1">
      <c r="A21" s="21">
        <f t="shared" si="1"/>
        <v>45002</v>
      </c>
      <c r="B21" s="17">
        <f t="shared" si="0"/>
        <v>6</v>
      </c>
      <c r="C21" s="13" t="s">
        <v>10</v>
      </c>
      <c r="D21" s="4">
        <v>0.375</v>
      </c>
      <c r="E21" s="4">
        <v>0.83333333333333337</v>
      </c>
      <c r="F21" s="4">
        <v>0.40625</v>
      </c>
      <c r="G21" s="5">
        <v>8.3333333333333329E-2</v>
      </c>
      <c r="H21" s="26"/>
      <c r="I21" s="28"/>
    </row>
    <row r="22" spans="1:9" ht="18" customHeight="1">
      <c r="A22" s="21">
        <f t="shared" si="1"/>
        <v>45003</v>
      </c>
      <c r="B22" s="17">
        <f t="shared" si="0"/>
        <v>7</v>
      </c>
      <c r="C22" s="13"/>
      <c r="D22" s="22"/>
      <c r="E22" s="22"/>
      <c r="F22" s="22"/>
      <c r="G22" s="22"/>
      <c r="H22" s="26"/>
      <c r="I22" s="28"/>
    </row>
    <row r="23" spans="1:9" ht="18" customHeight="1">
      <c r="A23" s="21">
        <f t="shared" si="1"/>
        <v>45004</v>
      </c>
      <c r="B23" s="17">
        <f t="shared" si="0"/>
        <v>1</v>
      </c>
      <c r="C23" s="13"/>
      <c r="D23" s="22"/>
      <c r="E23" s="22"/>
      <c r="F23" s="22"/>
      <c r="G23" s="22"/>
      <c r="H23" s="26"/>
      <c r="I23" s="28"/>
    </row>
    <row r="24" spans="1:9" ht="18" customHeight="1">
      <c r="A24" s="21">
        <f t="shared" si="1"/>
        <v>45005</v>
      </c>
      <c r="B24" s="17">
        <f t="shared" si="0"/>
        <v>2</v>
      </c>
      <c r="C24" s="13" t="s">
        <v>10</v>
      </c>
      <c r="D24" s="4">
        <v>0.375</v>
      </c>
      <c r="E24" s="4">
        <v>0.79166666666666663</v>
      </c>
      <c r="F24" s="4">
        <v>0.36458333333333331</v>
      </c>
      <c r="G24" s="5">
        <v>4.1666666666666664E-2</v>
      </c>
      <c r="H24" s="26"/>
      <c r="I24" s="28"/>
    </row>
    <row r="25" spans="1:9" ht="18" customHeight="1">
      <c r="A25" s="21">
        <f t="shared" si="1"/>
        <v>45006</v>
      </c>
      <c r="B25" s="17">
        <f t="shared" si="0"/>
        <v>3</v>
      </c>
      <c r="C25" s="13"/>
      <c r="D25" s="22"/>
      <c r="E25" s="22"/>
      <c r="F25" s="22"/>
      <c r="G25" s="22"/>
      <c r="H25" s="26"/>
      <c r="I25" s="28"/>
    </row>
    <row r="26" spans="1:9" ht="18" customHeight="1">
      <c r="A26" s="21">
        <f t="shared" si="1"/>
        <v>45007</v>
      </c>
      <c r="B26" s="17">
        <f t="shared" si="0"/>
        <v>4</v>
      </c>
      <c r="C26" s="13" t="s">
        <v>10</v>
      </c>
      <c r="D26" s="4">
        <v>0.375</v>
      </c>
      <c r="E26" s="4">
        <v>0.83333333333333337</v>
      </c>
      <c r="F26" s="4">
        <v>0.40625</v>
      </c>
      <c r="G26" s="5">
        <v>8.3333333333333329E-2</v>
      </c>
      <c r="H26" s="26"/>
      <c r="I26" s="28"/>
    </row>
    <row r="27" spans="1:9" ht="18" customHeight="1">
      <c r="A27" s="21">
        <f t="shared" si="1"/>
        <v>45008</v>
      </c>
      <c r="B27" s="17">
        <f t="shared" si="0"/>
        <v>5</v>
      </c>
      <c r="C27" s="13" t="s">
        <v>10</v>
      </c>
      <c r="D27" s="4">
        <v>0.375</v>
      </c>
      <c r="E27" s="4">
        <v>0.79166666666666663</v>
      </c>
      <c r="F27" s="4">
        <v>0.38541666666666669</v>
      </c>
      <c r="G27" s="5">
        <v>6.25E-2</v>
      </c>
      <c r="H27" s="26"/>
      <c r="I27" s="28"/>
    </row>
    <row r="28" spans="1:9" ht="18" customHeight="1">
      <c r="A28" s="21">
        <f t="shared" si="1"/>
        <v>45009</v>
      </c>
      <c r="B28" s="17">
        <f t="shared" si="0"/>
        <v>6</v>
      </c>
      <c r="C28" s="13" t="s">
        <v>10</v>
      </c>
      <c r="D28" s="4">
        <v>0.375</v>
      </c>
      <c r="E28" s="4">
        <v>0.8125</v>
      </c>
      <c r="F28" s="4">
        <v>0.38541666666666669</v>
      </c>
      <c r="G28" s="5">
        <v>6.25E-2</v>
      </c>
      <c r="H28" s="26"/>
      <c r="I28" s="28"/>
    </row>
    <row r="29" spans="1:9" ht="18" customHeight="1">
      <c r="A29" s="21">
        <f t="shared" si="1"/>
        <v>45010</v>
      </c>
      <c r="B29" s="17">
        <f t="shared" si="0"/>
        <v>7</v>
      </c>
      <c r="C29" s="13"/>
      <c r="D29" s="22"/>
      <c r="E29" s="22"/>
      <c r="F29" s="22"/>
      <c r="G29" s="22"/>
      <c r="H29" s="26"/>
      <c r="I29" s="28"/>
    </row>
    <row r="30" spans="1:9" ht="18" customHeight="1">
      <c r="A30" s="21">
        <f t="shared" si="1"/>
        <v>45011</v>
      </c>
      <c r="B30" s="17">
        <f t="shared" si="0"/>
        <v>1</v>
      </c>
      <c r="C30" s="13"/>
      <c r="D30" s="22"/>
      <c r="E30" s="22"/>
      <c r="F30" s="22"/>
      <c r="G30" s="22"/>
      <c r="H30" s="26"/>
      <c r="I30" s="28"/>
    </row>
    <row r="31" spans="1:9" ht="18" customHeight="1">
      <c r="A31" s="21">
        <f t="shared" si="1"/>
        <v>45012</v>
      </c>
      <c r="B31" s="17">
        <f t="shared" si="0"/>
        <v>2</v>
      </c>
      <c r="C31" s="13" t="s">
        <v>10</v>
      </c>
      <c r="D31" s="4">
        <v>0.375</v>
      </c>
      <c r="E31" s="4">
        <v>0.8125</v>
      </c>
      <c r="F31" s="4">
        <v>0.38541666666666669</v>
      </c>
      <c r="G31" s="5">
        <v>6.25E-2</v>
      </c>
      <c r="H31" s="26"/>
      <c r="I31" s="28"/>
    </row>
    <row r="32" spans="1:9" ht="18" customHeight="1">
      <c r="A32" s="21">
        <f t="shared" si="1"/>
        <v>45013</v>
      </c>
      <c r="B32" s="17">
        <f t="shared" si="0"/>
        <v>3</v>
      </c>
      <c r="C32" s="13" t="s">
        <v>10</v>
      </c>
      <c r="D32" s="22">
        <v>0.375</v>
      </c>
      <c r="E32" s="22">
        <v>0.79166666666666663</v>
      </c>
      <c r="F32" s="22">
        <v>0.36458333333333331</v>
      </c>
      <c r="G32" s="22">
        <v>4.1666666666666664E-2</v>
      </c>
      <c r="H32" s="26"/>
      <c r="I32" s="28"/>
    </row>
    <row r="33" spans="1:10" ht="18" customHeight="1">
      <c r="A33" s="21">
        <f t="shared" si="1"/>
        <v>45014</v>
      </c>
      <c r="B33" s="17">
        <f t="shared" si="0"/>
        <v>4</v>
      </c>
      <c r="C33" s="13" t="s">
        <v>10</v>
      </c>
      <c r="D33" s="22">
        <v>0.375</v>
      </c>
      <c r="E33" s="4">
        <v>0.83333333333333337</v>
      </c>
      <c r="F33" s="22">
        <v>0.36458333333333331</v>
      </c>
      <c r="G33" s="22">
        <v>4.1666666666666664E-2</v>
      </c>
      <c r="H33" s="26"/>
      <c r="I33" s="28"/>
    </row>
    <row r="34" spans="1:10" ht="18" customHeight="1">
      <c r="A34" s="21">
        <f t="shared" si="1"/>
        <v>45015</v>
      </c>
      <c r="B34" s="17">
        <f t="shared" ref="B34" si="2">IF(A34="","",WEEKDAY(A34))</f>
        <v>5</v>
      </c>
      <c r="C34" s="13" t="s">
        <v>10</v>
      </c>
      <c r="D34" s="4">
        <v>0.375</v>
      </c>
      <c r="E34" s="4">
        <v>0.79166666666666663</v>
      </c>
      <c r="F34" s="4">
        <v>0.38541666666666669</v>
      </c>
      <c r="G34" s="5">
        <v>6.25E-2</v>
      </c>
      <c r="H34" s="26"/>
      <c r="I34" s="28"/>
    </row>
    <row r="35" spans="1:10" ht="18" customHeight="1">
      <c r="A35" s="21">
        <f t="shared" si="1"/>
        <v>45016</v>
      </c>
      <c r="B35" s="17">
        <f t="shared" si="0"/>
        <v>6</v>
      </c>
      <c r="C35" s="13" t="s">
        <v>10</v>
      </c>
      <c r="D35" s="4">
        <v>0.375</v>
      </c>
      <c r="E35" s="4">
        <v>0.79166666666666663</v>
      </c>
      <c r="F35" s="4">
        <v>0.38541666666666669</v>
      </c>
      <c r="G35" s="5">
        <v>6.25E-2</v>
      </c>
      <c r="H35" s="26"/>
      <c r="I35" s="28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8.5</v>
      </c>
      <c r="G36" s="19">
        <f>SUM(G5:G35)</f>
        <v>1.3958333333333335</v>
      </c>
      <c r="H36" s="20"/>
      <c r="I36" s="29"/>
      <c r="J36" s="16"/>
    </row>
    <row r="37" spans="1:10">
      <c r="I37" s="28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68" priority="21">
      <formula>WEEKDAY($B5)=7</formula>
    </cfRule>
    <cfRule type="expression" dxfId="67" priority="22">
      <formula>WEEKDAY($B5)=1</formula>
    </cfRule>
  </conditionalFormatting>
  <conditionalFormatting sqref="B6:B33">
    <cfRule type="expression" dxfId="66" priority="19">
      <formula>WEEKDAY($B6)=7</formula>
    </cfRule>
    <cfRule type="expression" dxfId="65" priority="20">
      <formula>WEEKDAY($B6)=1</formula>
    </cfRule>
  </conditionalFormatting>
  <conditionalFormatting sqref="B34">
    <cfRule type="expression" dxfId="64" priority="13">
      <formula>WEEKDAY($B34)=7</formula>
    </cfRule>
    <cfRule type="expression" dxfId="63" priority="14">
      <formula>WEEKDAY($B34)=1</formula>
    </cfRule>
  </conditionalFormatting>
  <conditionalFormatting sqref="E11">
    <cfRule type="timePeriod" dxfId="8" priority="9" timePeriod="lastMonth">
      <formula>AND(MONTH(E11)=MONTH(EDATE(TODAY(),0-1)),YEAR(E11)=YEAR(EDATE(TODAY(),0-1)))</formula>
    </cfRule>
  </conditionalFormatting>
  <conditionalFormatting sqref="E13">
    <cfRule type="timePeriod" dxfId="7" priority="8" timePeriod="lastMonth">
      <formula>AND(MONTH(E13)=MONTH(EDATE(TODAY(),0-1)),YEAR(E13)=YEAR(EDATE(TODAY(),0-1)))</formula>
    </cfRule>
  </conditionalFormatting>
  <conditionalFormatting sqref="E24:G24">
    <cfRule type="timePeriod" dxfId="5" priority="6" timePeriod="lastMonth">
      <formula>AND(MONTH(E24)=MONTH(EDATE(TODAY(),0-1)),YEAR(E24)=YEAR(EDATE(TODAY(),0-1)))</formula>
    </cfRule>
  </conditionalFormatting>
  <conditionalFormatting sqref="E27">
    <cfRule type="timePeriod" dxfId="4" priority="5" timePeriod="lastMonth">
      <formula>AND(MONTH(E27)=MONTH(EDATE(TODAY(),0-1)),YEAR(E27)=YEAR(EDATE(TODAY(),0-1)))</formula>
    </cfRule>
  </conditionalFormatting>
  <conditionalFormatting sqref="B35">
    <cfRule type="expression" dxfId="3" priority="3">
      <formula>WEEKDAY($B35)=7</formula>
    </cfRule>
    <cfRule type="expression" dxfId="2" priority="4">
      <formula>WEEKDAY($B35)=1</formula>
    </cfRule>
  </conditionalFormatting>
  <conditionalFormatting sqref="E34">
    <cfRule type="timePeriod" dxfId="1" priority="2" timePeriod="lastMonth">
      <formula>AND(MONTH(E34)=MONTH(EDATE(TODAY(),0-1)),YEAR(E34)=YEAR(EDATE(TODAY(),0-1)))</formula>
    </cfRule>
  </conditionalFormatting>
  <conditionalFormatting sqref="E35">
    <cfRule type="timePeriod" dxfId="0" priority="1" timePeriod="lastMonth">
      <formula>AND(MONTH(E35)=MONTH(EDATE(TODAY(),0-1)),YEAR(E35)=YEAR(EDATE(TODAY(),0-1)))</formula>
    </cfRule>
  </conditionalFormatting>
  <dataValidations count="1">
    <dataValidation type="list" allowBlank="1" showInputMessage="1" showErrorMessage="1" sqref="D5:H18 D19:G20 D27:G28 D31:G31 D34:G35 C5:C35" xr:uid="{AD28016A-3C89-46E4-874E-DCE5F49B2E35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91ED7-E0E2-40A6-AD7A-6B7F72B167B6}">
  <sheetPr codeName="Sheet16"/>
  <dimension ref="A1:L37"/>
  <sheetViews>
    <sheetView view="pageBreakPreview" zoomScale="85" zoomScaleNormal="100" zoomScaleSheetLayoutView="85" workbookViewId="0">
      <selection activeCell="H21" sqref="H21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17</v>
      </c>
      <c r="B1" s="34"/>
      <c r="C1" s="34"/>
      <c r="D1" s="34"/>
      <c r="E1" s="14" t="s">
        <v>0</v>
      </c>
      <c r="F1" s="18">
        <v>44470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  <c r="I4" s="28"/>
    </row>
    <row r="5" spans="1:12" ht="18" customHeight="1">
      <c r="A5" s="21">
        <f>F1</f>
        <v>44470</v>
      </c>
      <c r="B5" s="17">
        <f>IF(A5="","",WEEKDAY(A5))</f>
        <v>6</v>
      </c>
      <c r="C5" s="13" t="s">
        <v>10</v>
      </c>
      <c r="D5" s="22">
        <v>0.375</v>
      </c>
      <c r="E5" s="22">
        <v>0.95833333333333337</v>
      </c>
      <c r="F5" s="22">
        <v>0.53125</v>
      </c>
      <c r="G5" s="22">
        <v>0.20833333333333334</v>
      </c>
      <c r="H5" s="26" t="s">
        <v>18</v>
      </c>
      <c r="I5" s="28"/>
      <c r="J5" s="9" t="s">
        <v>11</v>
      </c>
    </row>
    <row r="6" spans="1:12" ht="18" customHeight="1">
      <c r="A6" s="21">
        <f>A5+1</f>
        <v>44471</v>
      </c>
      <c r="B6" s="17">
        <f t="shared" ref="B6:B35" si="0">IF(A6="","",WEEKDAY(A6))</f>
        <v>7</v>
      </c>
      <c r="C6" s="23" t="s">
        <v>19</v>
      </c>
      <c r="D6" s="24">
        <v>0.41666666666666669</v>
      </c>
      <c r="E6" s="24">
        <v>0.79166666666666663</v>
      </c>
      <c r="F6" s="24">
        <v>0.33333333333333331</v>
      </c>
      <c r="G6" s="24">
        <v>0.33333333333333331</v>
      </c>
      <c r="H6" s="27" t="s">
        <v>20</v>
      </c>
      <c r="I6" s="28"/>
      <c r="J6" s="9" t="s">
        <v>12</v>
      </c>
    </row>
    <row r="7" spans="1:12" ht="18" customHeight="1">
      <c r="A7" s="21">
        <f t="shared" ref="A7:A35" si="1">A6+1</f>
        <v>44472</v>
      </c>
      <c r="B7" s="17">
        <f t="shared" si="0"/>
        <v>1</v>
      </c>
      <c r="C7" s="23" t="s">
        <v>19</v>
      </c>
      <c r="D7" s="24">
        <v>0.5</v>
      </c>
      <c r="E7" s="24">
        <v>0.625</v>
      </c>
      <c r="F7" s="24">
        <v>0.125</v>
      </c>
      <c r="G7" s="24">
        <v>0.125</v>
      </c>
      <c r="H7" s="27" t="s">
        <v>20</v>
      </c>
      <c r="I7" s="28"/>
      <c r="J7" s="9" t="s">
        <v>13</v>
      </c>
    </row>
    <row r="8" spans="1:12" ht="18" customHeight="1">
      <c r="A8" s="21">
        <f t="shared" si="1"/>
        <v>44473</v>
      </c>
      <c r="B8" s="17">
        <f t="shared" si="0"/>
        <v>2</v>
      </c>
      <c r="C8" s="13" t="s">
        <v>10</v>
      </c>
      <c r="D8" s="22">
        <v>0.375</v>
      </c>
      <c r="E8" s="22">
        <v>0.91666666666666663</v>
      </c>
      <c r="F8" s="22">
        <v>0.48958333333333331</v>
      </c>
      <c r="G8" s="22">
        <v>0.16666666666666666</v>
      </c>
      <c r="H8" s="26" t="s">
        <v>18</v>
      </c>
      <c r="I8" s="28"/>
      <c r="J8" s="9" t="s">
        <v>14</v>
      </c>
    </row>
    <row r="9" spans="1:12" ht="18" customHeight="1">
      <c r="A9" s="21">
        <f t="shared" si="1"/>
        <v>44474</v>
      </c>
      <c r="B9" s="17">
        <f t="shared" si="0"/>
        <v>3</v>
      </c>
      <c r="C9" s="13" t="s">
        <v>10</v>
      </c>
      <c r="D9" s="22">
        <v>0.375</v>
      </c>
      <c r="E9" s="22">
        <v>0.91666666666666663</v>
      </c>
      <c r="F9" s="22">
        <v>0.48958333333333331</v>
      </c>
      <c r="G9" s="22">
        <v>0.16666666666666666</v>
      </c>
      <c r="H9" s="26" t="s">
        <v>18</v>
      </c>
      <c r="I9" s="28"/>
      <c r="J9" s="9" t="s">
        <v>15</v>
      </c>
    </row>
    <row r="10" spans="1:12" ht="18" customHeight="1">
      <c r="A10" s="21">
        <f t="shared" si="1"/>
        <v>44475</v>
      </c>
      <c r="B10" s="17">
        <f t="shared" si="0"/>
        <v>4</v>
      </c>
      <c r="C10" s="13" t="s">
        <v>10</v>
      </c>
      <c r="D10" s="22">
        <v>0.375</v>
      </c>
      <c r="E10" s="22">
        <v>0.9375</v>
      </c>
      <c r="F10" s="22">
        <v>0.51041666666666663</v>
      </c>
      <c r="G10" s="22">
        <v>0.1875</v>
      </c>
      <c r="H10" s="26" t="s">
        <v>21</v>
      </c>
      <c r="I10" s="28"/>
    </row>
    <row r="11" spans="1:12" ht="18" customHeight="1">
      <c r="A11" s="21">
        <f t="shared" si="1"/>
        <v>44476</v>
      </c>
      <c r="B11" s="17">
        <f t="shared" si="0"/>
        <v>5</v>
      </c>
      <c r="C11" s="13" t="s">
        <v>10</v>
      </c>
      <c r="D11" s="22">
        <v>0.375</v>
      </c>
      <c r="E11" s="22">
        <v>0.72916666666666663</v>
      </c>
      <c r="F11" s="22">
        <v>0.32291666666666669</v>
      </c>
      <c r="G11" s="22">
        <v>0</v>
      </c>
      <c r="H11" s="26" t="s">
        <v>18</v>
      </c>
      <c r="I11" s="28"/>
      <c r="L11" s="16"/>
    </row>
    <row r="12" spans="1:12" ht="18" customHeight="1">
      <c r="A12" s="21">
        <f t="shared" si="1"/>
        <v>44477</v>
      </c>
      <c r="B12" s="17">
        <f t="shared" si="0"/>
        <v>6</v>
      </c>
      <c r="C12" s="13" t="s">
        <v>10</v>
      </c>
      <c r="D12" s="22">
        <v>0.375</v>
      </c>
      <c r="E12" s="22">
        <v>0.9375</v>
      </c>
      <c r="F12" s="22">
        <v>0.51041666666666663</v>
      </c>
      <c r="G12" s="22">
        <v>0.1875</v>
      </c>
      <c r="H12" s="26" t="s">
        <v>18</v>
      </c>
      <c r="I12" s="28"/>
      <c r="L12" s="16"/>
    </row>
    <row r="13" spans="1:12" ht="18" customHeight="1">
      <c r="A13" s="21">
        <f t="shared" si="1"/>
        <v>44478</v>
      </c>
      <c r="B13" s="17">
        <f t="shared" si="0"/>
        <v>7</v>
      </c>
      <c r="C13" s="23" t="s">
        <v>19</v>
      </c>
      <c r="D13" s="24">
        <v>0.54166666666666663</v>
      </c>
      <c r="E13" s="24">
        <v>0.75</v>
      </c>
      <c r="F13" s="24">
        <v>0.20833333333333334</v>
      </c>
      <c r="G13" s="24">
        <v>0.20833333333333334</v>
      </c>
      <c r="H13" s="27" t="s">
        <v>20</v>
      </c>
      <c r="I13" s="28"/>
      <c r="L13" s="16"/>
    </row>
    <row r="14" spans="1:12" ht="18" customHeight="1">
      <c r="A14" s="21">
        <f t="shared" si="1"/>
        <v>44479</v>
      </c>
      <c r="B14" s="17">
        <f t="shared" si="0"/>
        <v>1</v>
      </c>
      <c r="C14" s="23" t="s">
        <v>19</v>
      </c>
      <c r="D14" s="24">
        <v>0.54166666666666663</v>
      </c>
      <c r="E14" s="24">
        <v>0.75</v>
      </c>
      <c r="F14" s="24">
        <v>0.20833333333333334</v>
      </c>
      <c r="G14" s="24">
        <v>0.20833333333333334</v>
      </c>
      <c r="H14" s="27" t="s">
        <v>20</v>
      </c>
      <c r="I14" s="28"/>
    </row>
    <row r="15" spans="1:12" ht="18" customHeight="1">
      <c r="A15" s="21">
        <f t="shared" si="1"/>
        <v>44480</v>
      </c>
      <c r="B15" s="17">
        <f t="shared" si="0"/>
        <v>2</v>
      </c>
      <c r="C15" s="13" t="s">
        <v>10</v>
      </c>
      <c r="D15" s="22">
        <v>0.375</v>
      </c>
      <c r="E15" s="22">
        <v>0.9375</v>
      </c>
      <c r="F15" s="22">
        <v>0.51041666666666663</v>
      </c>
      <c r="G15" s="22">
        <v>0.1875</v>
      </c>
      <c r="H15" s="26"/>
      <c r="I15" s="28"/>
    </row>
    <row r="16" spans="1:12" ht="18" customHeight="1">
      <c r="A16" s="21">
        <f t="shared" si="1"/>
        <v>44481</v>
      </c>
      <c r="B16" s="17">
        <f t="shared" si="0"/>
        <v>3</v>
      </c>
      <c r="C16" s="13" t="s">
        <v>10</v>
      </c>
      <c r="D16" s="22">
        <v>0.375</v>
      </c>
      <c r="E16" s="22">
        <v>0.91666666666666663</v>
      </c>
      <c r="F16" s="22">
        <v>0.48958333333333331</v>
      </c>
      <c r="G16" s="22">
        <v>0.16666666666666666</v>
      </c>
      <c r="H16" s="26"/>
      <c r="I16" s="28"/>
    </row>
    <row r="17" spans="1:9" ht="18" customHeight="1">
      <c r="A17" s="21">
        <f t="shared" si="1"/>
        <v>44482</v>
      </c>
      <c r="B17" s="17">
        <f t="shared" si="0"/>
        <v>4</v>
      </c>
      <c r="C17" s="13" t="s">
        <v>10</v>
      </c>
      <c r="D17" s="22">
        <v>0.375</v>
      </c>
      <c r="E17" s="22">
        <v>0.9375</v>
      </c>
      <c r="F17" s="22">
        <v>0.51041666666666663</v>
      </c>
      <c r="G17" s="22">
        <v>0.1875</v>
      </c>
      <c r="H17" s="26" t="s">
        <v>18</v>
      </c>
      <c r="I17" s="28"/>
    </row>
    <row r="18" spans="1:9" ht="18" customHeight="1">
      <c r="A18" s="21">
        <f t="shared" si="1"/>
        <v>44483</v>
      </c>
      <c r="B18" s="17">
        <f t="shared" si="0"/>
        <v>5</v>
      </c>
      <c r="C18" s="13" t="s">
        <v>10</v>
      </c>
      <c r="D18" s="22">
        <v>0.375</v>
      </c>
      <c r="E18" s="22">
        <v>0.8125</v>
      </c>
      <c r="F18" s="22">
        <v>0.38541666666666669</v>
      </c>
      <c r="G18" s="22">
        <v>6.25E-2</v>
      </c>
      <c r="H18" s="26" t="s">
        <v>18</v>
      </c>
      <c r="I18" s="28"/>
    </row>
    <row r="19" spans="1:9" ht="18" customHeight="1">
      <c r="A19" s="21">
        <f t="shared" si="1"/>
        <v>44484</v>
      </c>
      <c r="B19" s="17">
        <f t="shared" si="0"/>
        <v>6</v>
      </c>
      <c r="C19" s="13" t="s">
        <v>10</v>
      </c>
      <c r="D19" s="22">
        <v>0.375</v>
      </c>
      <c r="E19" s="22">
        <v>0.72916666666666663</v>
      </c>
      <c r="F19" s="22">
        <v>0.32291666666666669</v>
      </c>
      <c r="G19" s="22">
        <v>0</v>
      </c>
      <c r="H19" s="26" t="s">
        <v>18</v>
      </c>
      <c r="I19" s="28"/>
    </row>
    <row r="20" spans="1:9" ht="18" customHeight="1">
      <c r="A20" s="21">
        <f t="shared" si="1"/>
        <v>44485</v>
      </c>
      <c r="B20" s="17">
        <f t="shared" si="0"/>
        <v>7</v>
      </c>
      <c r="C20" s="23"/>
      <c r="D20" s="24"/>
      <c r="E20" s="24"/>
      <c r="F20" s="24"/>
      <c r="G20" s="24"/>
      <c r="H20" s="27"/>
      <c r="I20" s="28"/>
    </row>
    <row r="21" spans="1:9" ht="18" customHeight="1">
      <c r="A21" s="21">
        <f t="shared" si="1"/>
        <v>44486</v>
      </c>
      <c r="B21" s="17">
        <f t="shared" si="0"/>
        <v>1</v>
      </c>
      <c r="C21" s="23" t="s">
        <v>19</v>
      </c>
      <c r="D21" s="24">
        <v>0.54166666666666663</v>
      </c>
      <c r="E21" s="24">
        <v>0.75</v>
      </c>
      <c r="F21" s="24">
        <v>0.20833333333333334</v>
      </c>
      <c r="G21" s="24">
        <v>0.20833333333333334</v>
      </c>
      <c r="H21" s="27" t="s">
        <v>20</v>
      </c>
      <c r="I21" s="28"/>
    </row>
    <row r="22" spans="1:9" ht="18" customHeight="1">
      <c r="A22" s="21">
        <f t="shared" si="1"/>
        <v>44487</v>
      </c>
      <c r="B22" s="17">
        <f t="shared" si="0"/>
        <v>2</v>
      </c>
      <c r="C22" s="13" t="s">
        <v>10</v>
      </c>
      <c r="D22" s="22">
        <v>0.375</v>
      </c>
      <c r="E22" s="22">
        <v>0.79166666666666663</v>
      </c>
      <c r="F22" s="22">
        <v>0.36458333333333331</v>
      </c>
      <c r="G22" s="22">
        <v>4.1666666666666664E-2</v>
      </c>
      <c r="H22" s="26" t="s">
        <v>18</v>
      </c>
      <c r="I22" s="28"/>
    </row>
    <row r="23" spans="1:9" ht="18" customHeight="1">
      <c r="A23" s="21">
        <f t="shared" si="1"/>
        <v>44488</v>
      </c>
      <c r="B23" s="17">
        <f t="shared" si="0"/>
        <v>3</v>
      </c>
      <c r="C23" s="13" t="s">
        <v>10</v>
      </c>
      <c r="D23" s="22">
        <v>0.375</v>
      </c>
      <c r="E23" s="22">
        <v>0.79166666666666663</v>
      </c>
      <c r="F23" s="22">
        <v>0.36458333333333331</v>
      </c>
      <c r="G23" s="22">
        <v>4.1666666666666664E-2</v>
      </c>
      <c r="H23" s="26" t="s">
        <v>18</v>
      </c>
      <c r="I23" s="28"/>
    </row>
    <row r="24" spans="1:9" ht="18" customHeight="1">
      <c r="A24" s="21">
        <f t="shared" si="1"/>
        <v>44489</v>
      </c>
      <c r="B24" s="17">
        <f t="shared" si="0"/>
        <v>4</v>
      </c>
      <c r="C24" s="13" t="s">
        <v>10</v>
      </c>
      <c r="D24" s="22">
        <v>0.375</v>
      </c>
      <c r="E24" s="22">
        <v>0.72916666666666663</v>
      </c>
      <c r="F24" s="22">
        <v>0.32291666666666669</v>
      </c>
      <c r="G24" s="22">
        <v>0</v>
      </c>
      <c r="H24" s="26" t="s">
        <v>18</v>
      </c>
      <c r="I24" s="28"/>
    </row>
    <row r="25" spans="1:9" ht="18" customHeight="1">
      <c r="A25" s="21">
        <f t="shared" si="1"/>
        <v>44490</v>
      </c>
      <c r="B25" s="17">
        <f t="shared" si="0"/>
        <v>5</v>
      </c>
      <c r="C25" s="13" t="s">
        <v>10</v>
      </c>
      <c r="D25" s="22">
        <v>0.375</v>
      </c>
      <c r="E25" s="22">
        <v>0.85416666666666663</v>
      </c>
      <c r="F25" s="22">
        <v>0.42708333333333331</v>
      </c>
      <c r="G25" s="22">
        <v>0.10416666666666667</v>
      </c>
      <c r="H25" s="26" t="s">
        <v>18</v>
      </c>
      <c r="I25" s="28"/>
    </row>
    <row r="26" spans="1:9" ht="18" customHeight="1">
      <c r="A26" s="21">
        <f t="shared" si="1"/>
        <v>44491</v>
      </c>
      <c r="B26" s="17">
        <f t="shared" si="0"/>
        <v>6</v>
      </c>
      <c r="C26" s="13" t="s">
        <v>10</v>
      </c>
      <c r="D26" s="22">
        <v>0.375</v>
      </c>
      <c r="E26" s="22">
        <v>0.91666666666666663</v>
      </c>
      <c r="F26" s="22">
        <v>0.48958333333333331</v>
      </c>
      <c r="G26" s="22">
        <v>0.16666666666666666</v>
      </c>
      <c r="H26" s="26"/>
      <c r="I26" s="28"/>
    </row>
    <row r="27" spans="1:9" ht="18" customHeight="1">
      <c r="A27" s="21">
        <f t="shared" si="1"/>
        <v>44492</v>
      </c>
      <c r="B27" s="17">
        <f t="shared" si="0"/>
        <v>7</v>
      </c>
      <c r="C27" s="23"/>
      <c r="D27" s="24"/>
      <c r="E27" s="24"/>
      <c r="F27" s="24"/>
      <c r="G27" s="24"/>
      <c r="H27" s="27"/>
      <c r="I27" s="28"/>
    </row>
    <row r="28" spans="1:9" ht="18" customHeight="1">
      <c r="A28" s="21">
        <f t="shared" si="1"/>
        <v>44493</v>
      </c>
      <c r="B28" s="17">
        <f t="shared" si="0"/>
        <v>1</v>
      </c>
      <c r="C28" s="23"/>
      <c r="D28" s="24"/>
      <c r="E28" s="24"/>
      <c r="F28" s="24"/>
      <c r="G28" s="24"/>
      <c r="H28" s="27"/>
      <c r="I28" s="28"/>
    </row>
    <row r="29" spans="1:9" ht="18" customHeight="1">
      <c r="A29" s="21">
        <f t="shared" si="1"/>
        <v>44494</v>
      </c>
      <c r="B29" s="17">
        <f t="shared" si="0"/>
        <v>2</v>
      </c>
      <c r="C29" s="13" t="s">
        <v>10</v>
      </c>
      <c r="D29" s="22">
        <v>0.375</v>
      </c>
      <c r="E29" s="22">
        <v>0.72916666666666663</v>
      </c>
      <c r="F29" s="22">
        <v>0.32291666666666669</v>
      </c>
      <c r="G29" s="22">
        <v>0</v>
      </c>
      <c r="H29" s="26" t="s">
        <v>22</v>
      </c>
      <c r="I29" s="28"/>
    </row>
    <row r="30" spans="1:9" ht="18" customHeight="1">
      <c r="A30" s="21">
        <f t="shared" si="1"/>
        <v>44495</v>
      </c>
      <c r="B30" s="17">
        <f t="shared" si="0"/>
        <v>3</v>
      </c>
      <c r="C30" s="13" t="s">
        <v>10</v>
      </c>
      <c r="D30" s="22">
        <v>0.375</v>
      </c>
      <c r="E30" s="22">
        <v>0.875</v>
      </c>
      <c r="F30" s="22">
        <v>0.44791666666666669</v>
      </c>
      <c r="G30" s="22">
        <v>0.125</v>
      </c>
      <c r="H30" s="26"/>
      <c r="I30" s="28"/>
    </row>
    <row r="31" spans="1:9" ht="18" customHeight="1">
      <c r="A31" s="21">
        <f t="shared" si="1"/>
        <v>44496</v>
      </c>
      <c r="B31" s="17">
        <f t="shared" si="0"/>
        <v>4</v>
      </c>
      <c r="C31" s="13" t="s">
        <v>10</v>
      </c>
      <c r="D31" s="22">
        <v>0.375</v>
      </c>
      <c r="E31" s="22">
        <v>0.8125</v>
      </c>
      <c r="F31" s="22">
        <v>0.38541666666666669</v>
      </c>
      <c r="G31" s="22">
        <v>6.25E-2</v>
      </c>
      <c r="H31" s="26" t="s">
        <v>18</v>
      </c>
      <c r="I31" s="28"/>
    </row>
    <row r="32" spans="1:9" ht="18" customHeight="1">
      <c r="A32" s="21">
        <f t="shared" si="1"/>
        <v>44497</v>
      </c>
      <c r="B32" s="17">
        <f t="shared" si="0"/>
        <v>5</v>
      </c>
      <c r="C32" s="13" t="s">
        <v>10</v>
      </c>
      <c r="D32" s="22">
        <v>0.375</v>
      </c>
      <c r="E32" s="22">
        <v>0.875</v>
      </c>
      <c r="F32" s="22">
        <v>0.44791666666666669</v>
      </c>
      <c r="G32" s="22">
        <v>0.125</v>
      </c>
      <c r="H32" s="26"/>
      <c r="I32" s="28"/>
    </row>
    <row r="33" spans="1:10" ht="18" customHeight="1">
      <c r="A33" s="21">
        <f t="shared" si="1"/>
        <v>44498</v>
      </c>
      <c r="B33" s="17">
        <f t="shared" si="0"/>
        <v>6</v>
      </c>
      <c r="C33" s="13" t="s">
        <v>10</v>
      </c>
      <c r="D33" s="22">
        <v>0.375</v>
      </c>
      <c r="E33" s="22">
        <v>0.875</v>
      </c>
      <c r="F33" s="22">
        <v>0.44791666666666669</v>
      </c>
      <c r="G33" s="22">
        <v>0.125</v>
      </c>
      <c r="H33" s="26"/>
      <c r="I33" s="28"/>
    </row>
    <row r="34" spans="1:10" ht="18" customHeight="1">
      <c r="A34" s="21">
        <f t="shared" si="1"/>
        <v>44499</v>
      </c>
      <c r="B34" s="17">
        <f t="shared" si="0"/>
        <v>7</v>
      </c>
      <c r="C34" s="23"/>
      <c r="D34" s="24"/>
      <c r="E34" s="24"/>
      <c r="F34" s="24"/>
      <c r="G34" s="24"/>
      <c r="H34" s="27"/>
      <c r="I34" s="28"/>
    </row>
    <row r="35" spans="1:10" ht="18" customHeight="1">
      <c r="A35" s="21">
        <f t="shared" si="1"/>
        <v>44500</v>
      </c>
      <c r="B35" s="17">
        <f t="shared" si="0"/>
        <v>1</v>
      </c>
      <c r="C35" s="23"/>
      <c r="D35" s="24"/>
      <c r="E35" s="24"/>
      <c r="F35" s="24"/>
      <c r="G35" s="24"/>
      <c r="H35" s="27"/>
      <c r="I35" s="28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10.17708333333333</v>
      </c>
      <c r="G36" s="19">
        <f>SUM(G5:G35)</f>
        <v>3.3958333333333326</v>
      </c>
      <c r="H36" s="20"/>
      <c r="I36" s="29"/>
      <c r="J36" s="16"/>
    </row>
    <row r="37" spans="1:10">
      <c r="I37" s="28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62" priority="7">
      <formula>WEEKDAY($B5)=7</formula>
    </cfRule>
    <cfRule type="expression" dxfId="61" priority="8">
      <formula>WEEKDAY($B5)=1</formula>
    </cfRule>
  </conditionalFormatting>
  <conditionalFormatting sqref="B6:B32">
    <cfRule type="expression" dxfId="60" priority="5">
      <formula>WEEKDAY($B6)=7</formula>
    </cfRule>
    <cfRule type="expression" dxfId="59" priority="6">
      <formula>WEEKDAY($B6)=1</formula>
    </cfRule>
  </conditionalFormatting>
  <conditionalFormatting sqref="B33:B34">
    <cfRule type="expression" dxfId="58" priority="3">
      <formula>WEEKDAY($B33)=7</formula>
    </cfRule>
    <cfRule type="expression" dxfId="57" priority="4">
      <formula>WEEKDAY($B33)=1</formula>
    </cfRule>
  </conditionalFormatting>
  <conditionalFormatting sqref="B35">
    <cfRule type="expression" dxfId="56" priority="1">
      <formula>WEEKDAY($B35)=7</formula>
    </cfRule>
    <cfRule type="expression" dxfId="55" priority="2">
      <formula>WEEKDAY($B35)=1</formula>
    </cfRule>
  </conditionalFormatting>
  <dataValidations count="1">
    <dataValidation type="list" allowBlank="1" showInputMessage="1" showErrorMessage="1" sqref="C5:C35" xr:uid="{20BB4424-D2D3-47F6-B99B-B0D475FBA6A7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60700-608E-4CAF-9C96-DEB7D09FA305}">
  <sheetPr codeName="Sheet17"/>
  <dimension ref="A1:L40"/>
  <sheetViews>
    <sheetView view="pageBreakPreview" zoomScale="85" zoomScaleNormal="100" zoomScaleSheetLayoutView="85" workbookViewId="0">
      <selection activeCell="C39" sqref="C39:C40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23</v>
      </c>
      <c r="B1" s="34"/>
      <c r="C1" s="34"/>
      <c r="D1" s="34"/>
      <c r="E1" s="14" t="s">
        <v>0</v>
      </c>
      <c r="F1" s="18">
        <v>44470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44470</v>
      </c>
      <c r="B5" s="17">
        <f>IF(A5="","",WEEKDAY(A5))</f>
        <v>6</v>
      </c>
      <c r="C5" s="13" t="s">
        <v>10</v>
      </c>
      <c r="D5" s="22">
        <v>0.375</v>
      </c>
      <c r="E5" s="22">
        <v>0.9375</v>
      </c>
      <c r="F5" s="22">
        <v>0.51041666666666663</v>
      </c>
      <c r="G5" s="22">
        <v>0.1875</v>
      </c>
      <c r="H5" s="26"/>
      <c r="J5" s="9" t="s">
        <v>11</v>
      </c>
    </row>
    <row r="6" spans="1:12" ht="18" customHeight="1">
      <c r="A6" s="21">
        <f>A5+1</f>
        <v>44471</v>
      </c>
      <c r="B6" s="17">
        <f t="shared" ref="B6:B35" si="0">IF(A6="","",WEEKDAY(A6))</f>
        <v>7</v>
      </c>
      <c r="C6" s="23" t="s">
        <v>19</v>
      </c>
      <c r="D6" s="24">
        <v>0.45833333333333331</v>
      </c>
      <c r="E6" s="24">
        <v>0.83333333333333337</v>
      </c>
      <c r="F6" s="24">
        <v>0.33333333333333331</v>
      </c>
      <c r="G6" s="24">
        <v>0.33333333333333331</v>
      </c>
      <c r="H6" s="27"/>
      <c r="J6" s="9" t="s">
        <v>12</v>
      </c>
    </row>
    <row r="7" spans="1:12" ht="18" customHeight="1">
      <c r="A7" s="21">
        <f t="shared" ref="A7:A35" si="1">A6+1</f>
        <v>44472</v>
      </c>
      <c r="B7" s="17">
        <f t="shared" si="0"/>
        <v>1</v>
      </c>
      <c r="C7" s="23"/>
      <c r="D7" s="24"/>
      <c r="E7" s="24"/>
      <c r="F7" s="24"/>
      <c r="G7" s="24"/>
      <c r="H7" s="27"/>
      <c r="J7" s="9" t="s">
        <v>13</v>
      </c>
    </row>
    <row r="8" spans="1:12" ht="18" customHeight="1">
      <c r="A8" s="21">
        <f t="shared" si="1"/>
        <v>44473</v>
      </c>
      <c r="B8" s="17">
        <f t="shared" si="0"/>
        <v>2</v>
      </c>
      <c r="C8" s="13" t="s">
        <v>10</v>
      </c>
      <c r="D8" s="22">
        <v>0.375</v>
      </c>
      <c r="E8" s="22">
        <v>0.85416666666666663</v>
      </c>
      <c r="F8" s="22">
        <v>0.42708333333333331</v>
      </c>
      <c r="G8" s="22">
        <v>0.10416666666666667</v>
      </c>
      <c r="H8" s="26"/>
      <c r="J8" s="9" t="s">
        <v>14</v>
      </c>
    </row>
    <row r="9" spans="1:12" ht="18" customHeight="1">
      <c r="A9" s="21">
        <f t="shared" si="1"/>
        <v>44474</v>
      </c>
      <c r="B9" s="17">
        <f t="shared" si="0"/>
        <v>3</v>
      </c>
      <c r="C9" s="13" t="s">
        <v>10</v>
      </c>
      <c r="D9" s="22">
        <v>0.375</v>
      </c>
      <c r="E9" s="22">
        <v>0.85416666666666663</v>
      </c>
      <c r="F9" s="22">
        <v>0.42708333333333331</v>
      </c>
      <c r="G9" s="22">
        <v>0.10416666666666667</v>
      </c>
      <c r="H9" s="26"/>
      <c r="J9" s="9" t="s">
        <v>15</v>
      </c>
    </row>
    <row r="10" spans="1:12" ht="18" customHeight="1">
      <c r="A10" s="21">
        <f t="shared" si="1"/>
        <v>44475</v>
      </c>
      <c r="B10" s="17">
        <f t="shared" si="0"/>
        <v>4</v>
      </c>
      <c r="C10" s="13" t="s">
        <v>10</v>
      </c>
      <c r="D10" s="22">
        <v>0.375</v>
      </c>
      <c r="E10" s="22">
        <v>0.85416666666666663</v>
      </c>
      <c r="F10" s="22">
        <v>0.42708333333333331</v>
      </c>
      <c r="G10" s="22">
        <v>0.10416666666666667</v>
      </c>
      <c r="H10" s="26"/>
    </row>
    <row r="11" spans="1:12" ht="18" customHeight="1">
      <c r="A11" s="21">
        <f t="shared" si="1"/>
        <v>44476</v>
      </c>
      <c r="B11" s="17">
        <f t="shared" si="0"/>
        <v>5</v>
      </c>
      <c r="C11" s="13" t="s">
        <v>10</v>
      </c>
      <c r="D11" s="22">
        <v>0.375</v>
      </c>
      <c r="E11" s="22">
        <v>0.85416666666666663</v>
      </c>
      <c r="F11" s="22">
        <v>0.42708333333333331</v>
      </c>
      <c r="G11" s="22">
        <v>0.10416666666666667</v>
      </c>
      <c r="H11" s="26"/>
      <c r="L11" s="16"/>
    </row>
    <row r="12" spans="1:12" ht="18" customHeight="1">
      <c r="A12" s="21">
        <f t="shared" si="1"/>
        <v>44477</v>
      </c>
      <c r="B12" s="17">
        <f t="shared" si="0"/>
        <v>6</v>
      </c>
      <c r="C12" s="13" t="s">
        <v>10</v>
      </c>
      <c r="D12" s="22">
        <v>0.375</v>
      </c>
      <c r="E12" s="22">
        <v>0.95833333333333337</v>
      </c>
      <c r="F12" s="22">
        <v>0.32291666666666669</v>
      </c>
      <c r="G12" s="22">
        <v>0.20833333333333334</v>
      </c>
      <c r="H12" s="26"/>
      <c r="L12" s="16"/>
    </row>
    <row r="13" spans="1:12" ht="18" customHeight="1">
      <c r="A13" s="21">
        <f t="shared" si="1"/>
        <v>44478</v>
      </c>
      <c r="B13" s="17">
        <f t="shared" si="0"/>
        <v>7</v>
      </c>
      <c r="C13" s="23" t="s">
        <v>19</v>
      </c>
      <c r="D13" s="24">
        <v>0.45833333333333331</v>
      </c>
      <c r="E13" s="24">
        <v>0.75</v>
      </c>
      <c r="F13" s="24">
        <v>0.25</v>
      </c>
      <c r="G13" s="24">
        <v>0.25</v>
      </c>
      <c r="H13" s="27"/>
      <c r="L13" s="16"/>
    </row>
    <row r="14" spans="1:12" ht="18" customHeight="1">
      <c r="A14" s="21">
        <f t="shared" si="1"/>
        <v>44479</v>
      </c>
      <c r="B14" s="17">
        <f t="shared" si="0"/>
        <v>1</v>
      </c>
      <c r="C14" s="23" t="s">
        <v>19</v>
      </c>
      <c r="D14" s="24">
        <v>0.45833333333333331</v>
      </c>
      <c r="E14" s="24">
        <v>0.75</v>
      </c>
      <c r="F14" s="24">
        <v>0.25</v>
      </c>
      <c r="G14" s="24">
        <v>0.25</v>
      </c>
      <c r="H14" s="27"/>
    </row>
    <row r="15" spans="1:12" ht="18" customHeight="1">
      <c r="A15" s="21">
        <f t="shared" si="1"/>
        <v>44480</v>
      </c>
      <c r="B15" s="17">
        <f t="shared" si="0"/>
        <v>2</v>
      </c>
      <c r="C15" s="13" t="s">
        <v>10</v>
      </c>
      <c r="D15" s="22">
        <v>0.375</v>
      </c>
      <c r="E15" s="22">
        <v>0.89583333333333337</v>
      </c>
      <c r="F15" s="22">
        <v>0.46875</v>
      </c>
      <c r="G15" s="22">
        <v>0.14583333333333334</v>
      </c>
      <c r="H15" s="26"/>
    </row>
    <row r="16" spans="1:12" ht="18" customHeight="1">
      <c r="A16" s="21">
        <f t="shared" si="1"/>
        <v>44481</v>
      </c>
      <c r="B16" s="17">
        <f t="shared" si="0"/>
        <v>3</v>
      </c>
      <c r="C16" s="13" t="s">
        <v>10</v>
      </c>
      <c r="D16" s="22">
        <v>0.375</v>
      </c>
      <c r="E16" s="22">
        <v>0.875</v>
      </c>
      <c r="F16" s="22">
        <v>0.44791666666666669</v>
      </c>
      <c r="G16" s="22">
        <v>0.125</v>
      </c>
      <c r="H16" s="26"/>
    </row>
    <row r="17" spans="1:8" ht="18" customHeight="1">
      <c r="A17" s="21">
        <f t="shared" si="1"/>
        <v>44482</v>
      </c>
      <c r="B17" s="17">
        <f t="shared" si="0"/>
        <v>4</v>
      </c>
      <c r="C17" s="13" t="s">
        <v>10</v>
      </c>
      <c r="D17" s="22">
        <v>0.375</v>
      </c>
      <c r="E17" s="22">
        <v>0.875</v>
      </c>
      <c r="F17" s="22">
        <v>0.44791666666666669</v>
      </c>
      <c r="G17" s="22">
        <v>0.125</v>
      </c>
      <c r="H17" s="26"/>
    </row>
    <row r="18" spans="1:8" ht="18" customHeight="1">
      <c r="A18" s="21">
        <f t="shared" si="1"/>
        <v>44483</v>
      </c>
      <c r="B18" s="17">
        <f t="shared" si="0"/>
        <v>5</v>
      </c>
      <c r="C18" s="13" t="s">
        <v>10</v>
      </c>
      <c r="D18" s="22">
        <v>0.375</v>
      </c>
      <c r="E18" s="22">
        <v>0.89583333333333337</v>
      </c>
      <c r="F18" s="22">
        <v>0.46875</v>
      </c>
      <c r="G18" s="22">
        <v>0.14583333333333334</v>
      </c>
      <c r="H18" s="26"/>
    </row>
    <row r="19" spans="1:8" ht="18" customHeight="1">
      <c r="A19" s="21">
        <f t="shared" si="1"/>
        <v>44484</v>
      </c>
      <c r="B19" s="17">
        <f t="shared" si="0"/>
        <v>6</v>
      </c>
      <c r="C19" s="13"/>
      <c r="D19" s="22"/>
      <c r="E19" s="22"/>
      <c r="F19" s="22"/>
      <c r="G19" s="22"/>
      <c r="H19" s="26" t="s">
        <v>24</v>
      </c>
    </row>
    <row r="20" spans="1:8" ht="18" customHeight="1">
      <c r="A20" s="21">
        <f t="shared" si="1"/>
        <v>44485</v>
      </c>
      <c r="B20" s="17">
        <f t="shared" si="0"/>
        <v>7</v>
      </c>
      <c r="C20" s="23"/>
      <c r="D20" s="24"/>
      <c r="E20" s="24"/>
      <c r="F20" s="24"/>
      <c r="G20" s="24"/>
      <c r="H20" s="27"/>
    </row>
    <row r="21" spans="1:8" ht="18" customHeight="1">
      <c r="A21" s="21">
        <f t="shared" si="1"/>
        <v>44486</v>
      </c>
      <c r="B21" s="17">
        <f t="shared" si="0"/>
        <v>1</v>
      </c>
      <c r="C21" s="23" t="s">
        <v>19</v>
      </c>
      <c r="D21" s="24">
        <v>0.54166666666666663</v>
      </c>
      <c r="E21" s="24">
        <v>0.75</v>
      </c>
      <c r="F21" s="24">
        <v>0.20833333333333334</v>
      </c>
      <c r="G21" s="24">
        <v>0.20833333333333334</v>
      </c>
      <c r="H21" s="27"/>
    </row>
    <row r="22" spans="1:8" ht="18" customHeight="1">
      <c r="A22" s="21">
        <f t="shared" si="1"/>
        <v>44487</v>
      </c>
      <c r="B22" s="17">
        <f t="shared" si="0"/>
        <v>2</v>
      </c>
      <c r="C22" s="13" t="s">
        <v>10</v>
      </c>
      <c r="D22" s="22">
        <v>0.375</v>
      </c>
      <c r="E22" s="22">
        <v>0.9375</v>
      </c>
      <c r="F22" s="22">
        <v>0.51041666666666663</v>
      </c>
      <c r="G22" s="22">
        <v>0.1875</v>
      </c>
      <c r="H22" s="26"/>
    </row>
    <row r="23" spans="1:8" ht="18" customHeight="1">
      <c r="A23" s="21">
        <f t="shared" si="1"/>
        <v>44488</v>
      </c>
      <c r="B23" s="17">
        <f t="shared" si="0"/>
        <v>3</v>
      </c>
      <c r="C23" s="13" t="s">
        <v>10</v>
      </c>
      <c r="D23" s="22">
        <v>0.375</v>
      </c>
      <c r="E23" s="22">
        <v>0.9375</v>
      </c>
      <c r="F23" s="22">
        <v>0.51041666666666663</v>
      </c>
      <c r="G23" s="22">
        <v>0.1875</v>
      </c>
      <c r="H23" s="26"/>
    </row>
    <row r="24" spans="1:8" ht="18" customHeight="1">
      <c r="A24" s="21">
        <f t="shared" si="1"/>
        <v>44489</v>
      </c>
      <c r="B24" s="17">
        <f t="shared" si="0"/>
        <v>4</v>
      </c>
      <c r="C24" s="13" t="s">
        <v>10</v>
      </c>
      <c r="D24" s="22">
        <v>0.375</v>
      </c>
      <c r="E24" s="22">
        <v>0.89583333333333337</v>
      </c>
      <c r="F24" s="22">
        <v>0.46875</v>
      </c>
      <c r="G24" s="22">
        <v>0.14583333333333334</v>
      </c>
      <c r="H24" s="26"/>
    </row>
    <row r="25" spans="1:8" ht="18" customHeight="1">
      <c r="A25" s="21">
        <f t="shared" si="1"/>
        <v>44490</v>
      </c>
      <c r="B25" s="17">
        <f t="shared" si="0"/>
        <v>5</v>
      </c>
      <c r="C25" s="13" t="s">
        <v>10</v>
      </c>
      <c r="D25" s="22">
        <v>0.375</v>
      </c>
      <c r="E25" s="22">
        <v>0.91666666666666663</v>
      </c>
      <c r="F25" s="22">
        <v>0.48958333333333331</v>
      </c>
      <c r="G25" s="22">
        <v>0.16666666666666666</v>
      </c>
      <c r="H25" s="26"/>
    </row>
    <row r="26" spans="1:8" ht="18" customHeight="1">
      <c r="A26" s="21">
        <f t="shared" si="1"/>
        <v>44491</v>
      </c>
      <c r="B26" s="17">
        <f t="shared" si="0"/>
        <v>6</v>
      </c>
      <c r="C26" s="13" t="s">
        <v>10</v>
      </c>
      <c r="D26" s="22">
        <v>0.375</v>
      </c>
      <c r="E26" s="22">
        <v>0.72916666666666663</v>
      </c>
      <c r="F26" s="22">
        <v>0.32291666666666669</v>
      </c>
      <c r="G26" s="22">
        <v>0</v>
      </c>
      <c r="H26" s="26"/>
    </row>
    <row r="27" spans="1:8" ht="18" customHeight="1">
      <c r="A27" s="21">
        <f t="shared" si="1"/>
        <v>44492</v>
      </c>
      <c r="B27" s="17">
        <f t="shared" si="0"/>
        <v>7</v>
      </c>
      <c r="C27" s="23"/>
      <c r="D27" s="24"/>
      <c r="E27" s="24"/>
      <c r="F27" s="24"/>
      <c r="G27" s="24"/>
      <c r="H27" s="27"/>
    </row>
    <row r="28" spans="1:8" ht="18" customHeight="1">
      <c r="A28" s="21">
        <f t="shared" si="1"/>
        <v>44493</v>
      </c>
      <c r="B28" s="17">
        <f t="shared" si="0"/>
        <v>1</v>
      </c>
      <c r="C28" s="23"/>
      <c r="D28" s="24"/>
      <c r="E28" s="24"/>
      <c r="F28" s="24"/>
      <c r="G28" s="24"/>
      <c r="H28" s="27"/>
    </row>
    <row r="29" spans="1:8" ht="18" customHeight="1">
      <c r="A29" s="21">
        <f t="shared" si="1"/>
        <v>44494</v>
      </c>
      <c r="B29" s="17">
        <f t="shared" si="0"/>
        <v>2</v>
      </c>
      <c r="C29" s="13" t="s">
        <v>10</v>
      </c>
      <c r="D29" s="22">
        <v>0.375</v>
      </c>
      <c r="E29" s="22">
        <v>0.85416666666666663</v>
      </c>
      <c r="F29" s="22">
        <v>0.42708333333333331</v>
      </c>
      <c r="G29" s="22">
        <v>0.10416666666666667</v>
      </c>
      <c r="H29" s="26"/>
    </row>
    <row r="30" spans="1:8" ht="18" customHeight="1">
      <c r="A30" s="21">
        <f t="shared" si="1"/>
        <v>44495</v>
      </c>
      <c r="B30" s="17">
        <f t="shared" si="0"/>
        <v>3</v>
      </c>
      <c r="C30" s="13" t="s">
        <v>10</v>
      </c>
      <c r="D30" s="22">
        <v>0.375</v>
      </c>
      <c r="E30" s="22">
        <v>0.85416666666666663</v>
      </c>
      <c r="F30" s="22">
        <v>0.42708333333333331</v>
      </c>
      <c r="G30" s="22">
        <v>0.10416666666666667</v>
      </c>
      <c r="H30" s="26"/>
    </row>
    <row r="31" spans="1:8" ht="18" customHeight="1">
      <c r="A31" s="21">
        <f t="shared" si="1"/>
        <v>44496</v>
      </c>
      <c r="B31" s="17">
        <f t="shared" si="0"/>
        <v>4</v>
      </c>
      <c r="C31" s="13" t="s">
        <v>10</v>
      </c>
      <c r="D31" s="22">
        <v>0.375</v>
      </c>
      <c r="E31" s="22">
        <v>0.85416666666666663</v>
      </c>
      <c r="F31" s="22">
        <v>0.42708333333333331</v>
      </c>
      <c r="G31" s="22">
        <v>0.10416666666666667</v>
      </c>
      <c r="H31" s="26"/>
    </row>
    <row r="32" spans="1:8" ht="18" customHeight="1">
      <c r="A32" s="21">
        <f t="shared" si="1"/>
        <v>44497</v>
      </c>
      <c r="B32" s="17">
        <f t="shared" si="0"/>
        <v>5</v>
      </c>
      <c r="C32" s="13" t="s">
        <v>10</v>
      </c>
      <c r="D32" s="22">
        <v>0.375</v>
      </c>
      <c r="E32" s="22">
        <v>0.83333333333333337</v>
      </c>
      <c r="F32" s="22">
        <v>0.40625</v>
      </c>
      <c r="G32" s="22">
        <v>8.3333333333333329E-2</v>
      </c>
      <c r="H32" s="26"/>
    </row>
    <row r="33" spans="1:10" ht="18" customHeight="1">
      <c r="A33" s="21">
        <f t="shared" si="1"/>
        <v>44498</v>
      </c>
      <c r="B33" s="17">
        <f t="shared" si="0"/>
        <v>6</v>
      </c>
      <c r="C33" s="13" t="s">
        <v>10</v>
      </c>
      <c r="D33" s="22">
        <v>0.375</v>
      </c>
      <c r="E33" s="22">
        <v>0.8125</v>
      </c>
      <c r="F33" s="22">
        <v>0.38541666666666669</v>
      </c>
      <c r="G33" s="22">
        <v>6.25E-2</v>
      </c>
      <c r="H33" s="26"/>
    </row>
    <row r="34" spans="1:10" ht="18" customHeight="1">
      <c r="A34" s="21">
        <f t="shared" si="1"/>
        <v>44499</v>
      </c>
      <c r="B34" s="17">
        <f t="shared" si="0"/>
        <v>7</v>
      </c>
      <c r="C34" s="23"/>
      <c r="D34" s="24"/>
      <c r="E34" s="24"/>
      <c r="F34" s="24"/>
      <c r="G34" s="24"/>
      <c r="H34" s="27"/>
    </row>
    <row r="35" spans="1:10" ht="18" customHeight="1">
      <c r="A35" s="21">
        <f t="shared" si="1"/>
        <v>44500</v>
      </c>
      <c r="B35" s="17">
        <f t="shared" si="0"/>
        <v>1</v>
      </c>
      <c r="C35" s="23"/>
      <c r="D35" s="24"/>
      <c r="E35" s="24"/>
      <c r="F35" s="24"/>
      <c r="G35" s="24"/>
      <c r="H35" s="27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9.7916666666666679</v>
      </c>
      <c r="G36" s="19">
        <f>SUM(G5:G35)</f>
        <v>3.5416666666666661</v>
      </c>
      <c r="H36" s="20"/>
      <c r="I36" s="16"/>
      <c r="J36" s="16"/>
    </row>
    <row r="38" spans="1:10">
      <c r="A38" s="9" t="s">
        <v>25</v>
      </c>
    </row>
    <row r="39" spans="1:10">
      <c r="A39" s="9" t="s">
        <v>26</v>
      </c>
    </row>
    <row r="40" spans="1:10">
      <c r="A40" s="9" t="s">
        <v>27</v>
      </c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54" priority="7">
      <formula>WEEKDAY($B5)=7</formula>
    </cfRule>
    <cfRule type="expression" dxfId="53" priority="8">
      <formula>WEEKDAY($B5)=1</formula>
    </cfRule>
  </conditionalFormatting>
  <conditionalFormatting sqref="B6:B32">
    <cfRule type="expression" dxfId="52" priority="5">
      <formula>WEEKDAY($B6)=7</formula>
    </cfRule>
    <cfRule type="expression" dxfId="51" priority="6">
      <formula>WEEKDAY($B6)=1</formula>
    </cfRule>
  </conditionalFormatting>
  <conditionalFormatting sqref="B33:B34">
    <cfRule type="expression" dxfId="50" priority="3">
      <formula>WEEKDAY($B33)=7</formula>
    </cfRule>
    <cfRule type="expression" dxfId="49" priority="4">
      <formula>WEEKDAY($B33)=1</formula>
    </cfRule>
  </conditionalFormatting>
  <conditionalFormatting sqref="B35">
    <cfRule type="expression" dxfId="48" priority="1">
      <formula>WEEKDAY($B35)=7</formula>
    </cfRule>
    <cfRule type="expression" dxfId="47" priority="2">
      <formula>WEEKDAY($B35)=1</formula>
    </cfRule>
  </conditionalFormatting>
  <dataValidations count="1">
    <dataValidation type="list" allowBlank="1" showInputMessage="1" showErrorMessage="1" sqref="C5:C35" xr:uid="{1EAE4D72-ACCF-4524-AD1E-354E6ED1EEA3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6E81C-94B3-41CF-874B-31E2E6CE634E}">
  <sheetPr codeName="Sheet18"/>
  <dimension ref="A1:L36"/>
  <sheetViews>
    <sheetView view="pageBreakPreview" zoomScale="85" zoomScaleNormal="100" zoomScaleSheetLayoutView="85" workbookViewId="0">
      <selection activeCell="H32" sqref="H32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28</v>
      </c>
      <c r="B1" s="34"/>
      <c r="C1" s="34"/>
      <c r="D1" s="34"/>
      <c r="E1" s="14" t="s">
        <v>0</v>
      </c>
      <c r="F1" s="18">
        <v>44470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44470</v>
      </c>
      <c r="B5" s="17">
        <f>IF(A5="","",WEEKDAY(A5))</f>
        <v>6</v>
      </c>
      <c r="C5" s="13" t="s">
        <v>10</v>
      </c>
      <c r="D5" s="22">
        <v>0.375</v>
      </c>
      <c r="E5" s="22">
        <v>0.72916666666666663</v>
      </c>
      <c r="F5" s="22">
        <v>0.32291666666666669</v>
      </c>
      <c r="G5" s="22">
        <v>0</v>
      </c>
      <c r="H5" s="26" t="s">
        <v>29</v>
      </c>
      <c r="J5" s="9" t="s">
        <v>11</v>
      </c>
    </row>
    <row r="6" spans="1:12" ht="18" customHeight="1">
      <c r="A6" s="21">
        <f>A5+1</f>
        <v>44471</v>
      </c>
      <c r="B6" s="17">
        <f t="shared" ref="B6:B35" si="0">IF(A6="","",WEEKDAY(A6))</f>
        <v>7</v>
      </c>
      <c r="C6" s="23"/>
      <c r="D6" s="24"/>
      <c r="E6" s="24"/>
      <c r="F6" s="24"/>
      <c r="G6" s="24"/>
      <c r="H6" s="27"/>
      <c r="J6" s="9" t="s">
        <v>12</v>
      </c>
    </row>
    <row r="7" spans="1:12" ht="18" customHeight="1">
      <c r="A7" s="21">
        <f t="shared" ref="A7:A35" si="1">A6+1</f>
        <v>44472</v>
      </c>
      <c r="B7" s="17">
        <f t="shared" si="0"/>
        <v>1</v>
      </c>
      <c r="C7" s="23"/>
      <c r="D7" s="24"/>
      <c r="E7" s="24"/>
      <c r="F7" s="24"/>
      <c r="G7" s="24"/>
      <c r="H7" s="27"/>
      <c r="J7" s="9" t="s">
        <v>13</v>
      </c>
    </row>
    <row r="8" spans="1:12" ht="18" customHeight="1">
      <c r="A8" s="21">
        <f t="shared" si="1"/>
        <v>44473</v>
      </c>
      <c r="B8" s="17">
        <f t="shared" si="0"/>
        <v>2</v>
      </c>
      <c r="C8" s="13" t="s">
        <v>10</v>
      </c>
      <c r="D8" s="22">
        <v>0.375</v>
      </c>
      <c r="E8" s="22">
        <v>0.72916666666666663</v>
      </c>
      <c r="F8" s="22">
        <v>0.32291666666666669</v>
      </c>
      <c r="G8" s="22">
        <v>0</v>
      </c>
      <c r="H8" s="26" t="s">
        <v>29</v>
      </c>
      <c r="J8" s="9" t="s">
        <v>14</v>
      </c>
    </row>
    <row r="9" spans="1:12" ht="18" customHeight="1">
      <c r="A9" s="21">
        <f t="shared" si="1"/>
        <v>44474</v>
      </c>
      <c r="B9" s="17">
        <f t="shared" si="0"/>
        <v>3</v>
      </c>
      <c r="C9" s="13" t="s">
        <v>10</v>
      </c>
      <c r="D9" s="22">
        <v>0.375</v>
      </c>
      <c r="E9" s="22">
        <v>0.72916666666666663</v>
      </c>
      <c r="F9" s="22">
        <v>0.32291666666666669</v>
      </c>
      <c r="G9" s="22">
        <v>0</v>
      </c>
      <c r="H9" s="26" t="s">
        <v>30</v>
      </c>
      <c r="J9" s="9" t="s">
        <v>15</v>
      </c>
    </row>
    <row r="10" spans="1:12" ht="18" customHeight="1">
      <c r="A10" s="21">
        <f t="shared" si="1"/>
        <v>44475</v>
      </c>
      <c r="B10" s="17">
        <f t="shared" si="0"/>
        <v>4</v>
      </c>
      <c r="C10" s="13" t="s">
        <v>10</v>
      </c>
      <c r="D10" s="22">
        <v>0.375</v>
      </c>
      <c r="E10" s="22">
        <v>0.72916666666666663</v>
      </c>
      <c r="F10" s="22">
        <v>0.32291666666666669</v>
      </c>
      <c r="G10" s="22">
        <v>0</v>
      </c>
      <c r="H10" s="26"/>
    </row>
    <row r="11" spans="1:12" ht="18" customHeight="1">
      <c r="A11" s="21">
        <f t="shared" si="1"/>
        <v>44476</v>
      </c>
      <c r="B11" s="17">
        <f t="shared" si="0"/>
        <v>5</v>
      </c>
      <c r="C11" s="13" t="s">
        <v>10</v>
      </c>
      <c r="D11" s="22">
        <v>0.375</v>
      </c>
      <c r="E11" s="22">
        <v>0.85416666666666663</v>
      </c>
      <c r="F11" s="22">
        <v>0.42708333333333331</v>
      </c>
      <c r="G11" s="22">
        <v>0.10416666666666667</v>
      </c>
      <c r="H11" s="26"/>
      <c r="L11" s="16"/>
    </row>
    <row r="12" spans="1:12" ht="18" customHeight="1">
      <c r="A12" s="21">
        <f t="shared" si="1"/>
        <v>44477</v>
      </c>
      <c r="B12" s="17">
        <f t="shared" si="0"/>
        <v>6</v>
      </c>
      <c r="C12" s="13" t="s">
        <v>10</v>
      </c>
      <c r="D12" s="22">
        <v>0.375</v>
      </c>
      <c r="E12" s="22">
        <v>0.91666666666666663</v>
      </c>
      <c r="F12" s="22">
        <v>0.48958333333333331</v>
      </c>
      <c r="G12" s="22">
        <v>0.16666666666666666</v>
      </c>
      <c r="H12" s="26" t="s">
        <v>31</v>
      </c>
      <c r="L12" s="16"/>
    </row>
    <row r="13" spans="1:12" ht="18" customHeight="1">
      <c r="A13" s="21">
        <f t="shared" si="1"/>
        <v>44478</v>
      </c>
      <c r="B13" s="17">
        <f t="shared" si="0"/>
        <v>7</v>
      </c>
      <c r="C13" s="23"/>
      <c r="D13" s="24"/>
      <c r="E13" s="24"/>
      <c r="F13" s="24"/>
      <c r="G13" s="24"/>
      <c r="H13" s="27"/>
      <c r="L13" s="16"/>
    </row>
    <row r="14" spans="1:12" ht="18" customHeight="1">
      <c r="A14" s="21">
        <f t="shared" si="1"/>
        <v>44479</v>
      </c>
      <c r="B14" s="17">
        <f t="shared" si="0"/>
        <v>1</v>
      </c>
      <c r="C14" s="23"/>
      <c r="D14" s="24"/>
      <c r="E14" s="24"/>
      <c r="F14" s="24"/>
      <c r="G14" s="24"/>
      <c r="H14" s="27"/>
    </row>
    <row r="15" spans="1:12" ht="18" customHeight="1">
      <c r="A15" s="21">
        <f t="shared" si="1"/>
        <v>44480</v>
      </c>
      <c r="B15" s="17">
        <f t="shared" si="0"/>
        <v>2</v>
      </c>
      <c r="C15" s="13" t="s">
        <v>10</v>
      </c>
      <c r="D15" s="22">
        <v>0.375</v>
      </c>
      <c r="E15" s="22">
        <v>0.91666666666666663</v>
      </c>
      <c r="F15" s="22">
        <v>0.48958333333333331</v>
      </c>
      <c r="G15" s="22">
        <v>0.16666666666666666</v>
      </c>
      <c r="H15" s="26"/>
    </row>
    <row r="16" spans="1:12" ht="18" customHeight="1">
      <c r="A16" s="21">
        <f t="shared" si="1"/>
        <v>44481</v>
      </c>
      <c r="B16" s="17">
        <f t="shared" si="0"/>
        <v>3</v>
      </c>
      <c r="C16" s="13" t="s">
        <v>10</v>
      </c>
      <c r="D16" s="22">
        <v>0.375</v>
      </c>
      <c r="E16" s="22">
        <v>0.9375</v>
      </c>
      <c r="F16" s="22">
        <v>0.51041666666666663</v>
      </c>
      <c r="G16" s="22">
        <v>0.1875</v>
      </c>
      <c r="H16" s="26"/>
    </row>
    <row r="17" spans="1:8" ht="18" customHeight="1">
      <c r="A17" s="21">
        <f t="shared" si="1"/>
        <v>44482</v>
      </c>
      <c r="B17" s="17">
        <f t="shared" si="0"/>
        <v>4</v>
      </c>
      <c r="C17" s="13" t="s">
        <v>10</v>
      </c>
      <c r="D17" s="22">
        <v>0.375</v>
      </c>
      <c r="E17" s="22">
        <v>0.875</v>
      </c>
      <c r="F17" s="22">
        <v>0.44791666666666669</v>
      </c>
      <c r="G17" s="22">
        <v>0.125</v>
      </c>
      <c r="H17" s="26"/>
    </row>
    <row r="18" spans="1:8" ht="18" customHeight="1">
      <c r="A18" s="21">
        <f t="shared" si="1"/>
        <v>44483</v>
      </c>
      <c r="B18" s="17">
        <f t="shared" si="0"/>
        <v>5</v>
      </c>
      <c r="C18" s="13" t="s">
        <v>10</v>
      </c>
      <c r="D18" s="22">
        <v>0.375</v>
      </c>
      <c r="E18" s="22">
        <v>0.9375</v>
      </c>
      <c r="F18" s="22">
        <v>0.51041666666666663</v>
      </c>
      <c r="G18" s="22">
        <v>0.1875</v>
      </c>
      <c r="H18" s="26"/>
    </row>
    <row r="19" spans="1:8" ht="18" customHeight="1">
      <c r="A19" s="21">
        <f t="shared" si="1"/>
        <v>44484</v>
      </c>
      <c r="B19" s="17">
        <f t="shared" si="0"/>
        <v>6</v>
      </c>
      <c r="C19" s="13" t="s">
        <v>10</v>
      </c>
      <c r="D19" s="22">
        <v>0.375</v>
      </c>
      <c r="E19" s="22">
        <v>0.875</v>
      </c>
      <c r="F19" s="22">
        <v>0.44791666666666669</v>
      </c>
      <c r="G19" s="22">
        <v>0.125</v>
      </c>
      <c r="H19" s="26"/>
    </row>
    <row r="20" spans="1:8" ht="18" customHeight="1">
      <c r="A20" s="21">
        <f t="shared" si="1"/>
        <v>44485</v>
      </c>
      <c r="B20" s="17">
        <f t="shared" si="0"/>
        <v>7</v>
      </c>
      <c r="C20" s="23"/>
      <c r="D20" s="24"/>
      <c r="E20" s="24"/>
      <c r="F20" s="24"/>
      <c r="G20" s="24"/>
      <c r="H20" s="27"/>
    </row>
    <row r="21" spans="1:8" ht="18" customHeight="1">
      <c r="A21" s="21">
        <f t="shared" si="1"/>
        <v>44486</v>
      </c>
      <c r="B21" s="17">
        <f t="shared" si="0"/>
        <v>1</v>
      </c>
      <c r="C21" s="23"/>
      <c r="D21" s="24"/>
      <c r="E21" s="24"/>
      <c r="F21" s="24"/>
      <c r="G21" s="24"/>
      <c r="H21" s="27"/>
    </row>
    <row r="22" spans="1:8" ht="18" customHeight="1">
      <c r="A22" s="21">
        <f t="shared" si="1"/>
        <v>44487</v>
      </c>
      <c r="B22" s="17">
        <f t="shared" si="0"/>
        <v>2</v>
      </c>
      <c r="C22" s="13" t="s">
        <v>10</v>
      </c>
      <c r="D22" s="22">
        <v>0.375</v>
      </c>
      <c r="E22" s="22">
        <v>0.91666666666666663</v>
      </c>
      <c r="F22" s="22">
        <v>0.48958333333333331</v>
      </c>
      <c r="G22" s="22">
        <v>0.16666666666666666</v>
      </c>
      <c r="H22" s="26"/>
    </row>
    <row r="23" spans="1:8" ht="18" customHeight="1">
      <c r="A23" s="21">
        <f t="shared" si="1"/>
        <v>44488</v>
      </c>
      <c r="B23" s="17">
        <f t="shared" si="0"/>
        <v>3</v>
      </c>
      <c r="C23" s="13" t="s">
        <v>10</v>
      </c>
      <c r="D23" s="22">
        <v>0.375</v>
      </c>
      <c r="E23" s="22">
        <v>0.91666666666666663</v>
      </c>
      <c r="F23" s="22">
        <v>0.48958333333333331</v>
      </c>
      <c r="G23" s="22">
        <v>0.16666666666666666</v>
      </c>
      <c r="H23" s="26"/>
    </row>
    <row r="24" spans="1:8" ht="18" customHeight="1">
      <c r="A24" s="21">
        <f t="shared" si="1"/>
        <v>44489</v>
      </c>
      <c r="B24" s="17">
        <f t="shared" si="0"/>
        <v>4</v>
      </c>
      <c r="C24" s="13" t="s">
        <v>10</v>
      </c>
      <c r="D24" s="22">
        <v>0.375</v>
      </c>
      <c r="E24" s="22">
        <v>0.91666666666666663</v>
      </c>
      <c r="F24" s="22">
        <v>0.48958333333333331</v>
      </c>
      <c r="G24" s="22">
        <v>0.16666666666666666</v>
      </c>
      <c r="H24" s="26"/>
    </row>
    <row r="25" spans="1:8" ht="18" customHeight="1">
      <c r="A25" s="21">
        <f t="shared" si="1"/>
        <v>44490</v>
      </c>
      <c r="B25" s="17">
        <f t="shared" si="0"/>
        <v>5</v>
      </c>
      <c r="C25" s="13" t="s">
        <v>10</v>
      </c>
      <c r="D25" s="22">
        <v>0.375</v>
      </c>
      <c r="E25" s="22">
        <v>0.9375</v>
      </c>
      <c r="F25" s="22">
        <v>0.51041666666666663</v>
      </c>
      <c r="G25" s="22">
        <v>0.1875</v>
      </c>
      <c r="H25" s="26"/>
    </row>
    <row r="26" spans="1:8" ht="18" customHeight="1">
      <c r="A26" s="21">
        <f t="shared" si="1"/>
        <v>44491</v>
      </c>
      <c r="B26" s="17">
        <f t="shared" si="0"/>
        <v>6</v>
      </c>
      <c r="C26" s="13"/>
      <c r="D26" s="22"/>
      <c r="E26" s="22"/>
      <c r="F26" s="22"/>
      <c r="G26" s="22"/>
      <c r="H26" s="26" t="s">
        <v>32</v>
      </c>
    </row>
    <row r="27" spans="1:8" ht="18" customHeight="1">
      <c r="A27" s="21">
        <f t="shared" si="1"/>
        <v>44492</v>
      </c>
      <c r="B27" s="17">
        <f t="shared" si="0"/>
        <v>7</v>
      </c>
      <c r="C27" s="23"/>
      <c r="D27" s="24"/>
      <c r="E27" s="24"/>
      <c r="F27" s="24"/>
      <c r="G27" s="24"/>
      <c r="H27" s="27"/>
    </row>
    <row r="28" spans="1:8" ht="18" customHeight="1">
      <c r="A28" s="21">
        <f t="shared" si="1"/>
        <v>44493</v>
      </c>
      <c r="B28" s="17">
        <f t="shared" si="0"/>
        <v>1</v>
      </c>
      <c r="C28" s="23"/>
      <c r="D28" s="24"/>
      <c r="E28" s="24"/>
      <c r="F28" s="24"/>
      <c r="G28" s="24"/>
      <c r="H28" s="27"/>
    </row>
    <row r="29" spans="1:8" ht="18" customHeight="1">
      <c r="A29" s="21">
        <f t="shared" si="1"/>
        <v>44494</v>
      </c>
      <c r="B29" s="17">
        <f t="shared" si="0"/>
        <v>2</v>
      </c>
      <c r="C29" s="13" t="s">
        <v>10</v>
      </c>
      <c r="D29" s="22">
        <v>0.375</v>
      </c>
      <c r="E29" s="22">
        <v>0.875</v>
      </c>
      <c r="F29" s="22">
        <v>0.44791666666666669</v>
      </c>
      <c r="G29" s="22">
        <v>0.125</v>
      </c>
      <c r="H29" s="26" t="s">
        <v>29</v>
      </c>
    </row>
    <row r="30" spans="1:8" ht="18" customHeight="1">
      <c r="A30" s="21">
        <f t="shared" si="1"/>
        <v>44495</v>
      </c>
      <c r="B30" s="17">
        <f t="shared" si="0"/>
        <v>3</v>
      </c>
      <c r="C30" s="13" t="s">
        <v>10</v>
      </c>
      <c r="D30" s="22">
        <v>0.375</v>
      </c>
      <c r="E30" s="22">
        <v>0.85416666666666663</v>
      </c>
      <c r="F30" s="22">
        <v>0.42708333333333331</v>
      </c>
      <c r="G30" s="22">
        <v>0.10416666666666667</v>
      </c>
      <c r="H30" s="26"/>
    </row>
    <row r="31" spans="1:8" ht="18" customHeight="1">
      <c r="A31" s="21">
        <f t="shared" si="1"/>
        <v>44496</v>
      </c>
      <c r="B31" s="17">
        <f t="shared" si="0"/>
        <v>4</v>
      </c>
      <c r="C31" s="13" t="s">
        <v>10</v>
      </c>
      <c r="D31" s="22">
        <v>0.375</v>
      </c>
      <c r="E31" s="22">
        <v>0.83333333333333337</v>
      </c>
      <c r="F31" s="22">
        <v>0.40625</v>
      </c>
      <c r="G31" s="22">
        <v>8.3333333333333329E-2</v>
      </c>
      <c r="H31" s="26"/>
    </row>
    <row r="32" spans="1:8" ht="18" customHeight="1">
      <c r="A32" s="21">
        <f t="shared" si="1"/>
        <v>44497</v>
      </c>
      <c r="B32" s="17">
        <f t="shared" si="0"/>
        <v>5</v>
      </c>
      <c r="C32" s="13" t="s">
        <v>10</v>
      </c>
      <c r="D32" s="22">
        <v>0.375</v>
      </c>
      <c r="E32" s="22">
        <v>0.72916666666666663</v>
      </c>
      <c r="F32" s="22">
        <v>0.32291666666666669</v>
      </c>
      <c r="G32" s="22">
        <v>0</v>
      </c>
      <c r="H32" s="26" t="s">
        <v>33</v>
      </c>
    </row>
    <row r="33" spans="1:10" ht="18" customHeight="1">
      <c r="A33" s="21">
        <f t="shared" si="1"/>
        <v>44498</v>
      </c>
      <c r="B33" s="17">
        <f t="shared" si="0"/>
        <v>6</v>
      </c>
      <c r="C33" s="13" t="s">
        <v>10</v>
      </c>
      <c r="D33" s="22">
        <v>0.375</v>
      </c>
      <c r="E33" s="22">
        <v>0.72916666666666663</v>
      </c>
      <c r="F33" s="22">
        <v>0.32291666666666669</v>
      </c>
      <c r="G33" s="22">
        <v>0</v>
      </c>
      <c r="H33" s="26"/>
    </row>
    <row r="34" spans="1:10" ht="18" customHeight="1">
      <c r="A34" s="21">
        <f t="shared" si="1"/>
        <v>44499</v>
      </c>
      <c r="B34" s="17">
        <f t="shared" si="0"/>
        <v>7</v>
      </c>
      <c r="C34" s="23"/>
      <c r="D34" s="24"/>
      <c r="E34" s="24"/>
      <c r="F34" s="24"/>
      <c r="G34" s="24"/>
      <c r="H34" s="27"/>
    </row>
    <row r="35" spans="1:10" ht="18" customHeight="1">
      <c r="A35" s="21">
        <f t="shared" si="1"/>
        <v>44500</v>
      </c>
      <c r="B35" s="17">
        <f t="shared" si="0"/>
        <v>1</v>
      </c>
      <c r="C35" s="23"/>
      <c r="D35" s="24"/>
      <c r="E35" s="24"/>
      <c r="F35" s="24"/>
      <c r="G35" s="24"/>
      <c r="H35" s="27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8.5208333333333321</v>
      </c>
      <c r="G36" s="19">
        <f>SUM(G5:G35)</f>
        <v>2.0625000000000004</v>
      </c>
      <c r="H36" s="20"/>
      <c r="I36" s="16"/>
      <c r="J36" s="16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46" priority="7">
      <formula>WEEKDAY($B5)=7</formula>
    </cfRule>
    <cfRule type="expression" dxfId="45" priority="8">
      <formula>WEEKDAY($B5)=1</formula>
    </cfRule>
  </conditionalFormatting>
  <conditionalFormatting sqref="B6:B32">
    <cfRule type="expression" dxfId="44" priority="5">
      <formula>WEEKDAY($B6)=7</formula>
    </cfRule>
    <cfRule type="expression" dxfId="43" priority="6">
      <formula>WEEKDAY($B6)=1</formula>
    </cfRule>
  </conditionalFormatting>
  <conditionalFormatting sqref="B33:B34">
    <cfRule type="expression" dxfId="42" priority="3">
      <formula>WEEKDAY($B33)=7</formula>
    </cfRule>
    <cfRule type="expression" dxfId="41" priority="4">
      <formula>WEEKDAY($B33)=1</formula>
    </cfRule>
  </conditionalFormatting>
  <conditionalFormatting sqref="B35">
    <cfRule type="expression" dxfId="40" priority="1">
      <formula>WEEKDAY($B35)=7</formula>
    </cfRule>
    <cfRule type="expression" dxfId="39" priority="2">
      <formula>WEEKDAY($B35)=1</formula>
    </cfRule>
  </conditionalFormatting>
  <dataValidations count="1">
    <dataValidation type="list" allowBlank="1" showInputMessage="1" showErrorMessage="1" sqref="C5:C35" xr:uid="{1A63A17E-04C6-43E6-8E6C-0D2BFE574B72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477AB-9DF5-4B70-AF2D-0AD73C9E3CA4}">
  <sheetPr codeName="Sheet19"/>
  <dimension ref="A1:L36"/>
  <sheetViews>
    <sheetView view="pageBreakPreview" zoomScale="85" zoomScaleNormal="100" zoomScaleSheetLayoutView="85" workbookViewId="0">
      <selection activeCell="G35" sqref="G35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34</v>
      </c>
      <c r="B1" s="34"/>
      <c r="C1" s="34"/>
      <c r="D1" s="34"/>
      <c r="E1" s="14" t="s">
        <v>0</v>
      </c>
      <c r="F1" s="18">
        <v>44470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44470</v>
      </c>
      <c r="B5" s="17">
        <f>IF(A5="","",WEEKDAY(A5))</f>
        <v>6</v>
      </c>
      <c r="C5" s="13" t="s">
        <v>10</v>
      </c>
      <c r="D5" s="22">
        <v>0.375</v>
      </c>
      <c r="E5" s="22">
        <v>0.89583333333333337</v>
      </c>
      <c r="F5" s="22">
        <v>0.46875</v>
      </c>
      <c r="G5" s="22">
        <v>0.14583333333333334</v>
      </c>
      <c r="H5" s="26" t="s">
        <v>35</v>
      </c>
      <c r="J5" s="9" t="s">
        <v>11</v>
      </c>
    </row>
    <row r="6" spans="1:12" ht="18" customHeight="1">
      <c r="A6" s="21">
        <f>A5+1</f>
        <v>44471</v>
      </c>
      <c r="B6" s="17">
        <f t="shared" ref="B6:B35" si="0">IF(A6="","",WEEKDAY(A6))</f>
        <v>7</v>
      </c>
      <c r="C6" s="23"/>
      <c r="D6" s="24">
        <v>0.4375</v>
      </c>
      <c r="E6" s="24">
        <v>0.83333333333333337</v>
      </c>
      <c r="F6" s="24">
        <v>0.35416666666666669</v>
      </c>
      <c r="G6" s="24">
        <v>0.35416666666666669</v>
      </c>
      <c r="H6" s="27" t="s">
        <v>36</v>
      </c>
      <c r="J6" s="9" t="s">
        <v>12</v>
      </c>
    </row>
    <row r="7" spans="1:12" ht="18" customHeight="1">
      <c r="A7" s="21">
        <f t="shared" ref="A7:A35" si="1">A6+1</f>
        <v>44472</v>
      </c>
      <c r="B7" s="17">
        <f t="shared" si="0"/>
        <v>1</v>
      </c>
      <c r="C7" s="23"/>
      <c r="D7" s="24"/>
      <c r="E7" s="24"/>
      <c r="F7" s="24"/>
      <c r="G7" s="24"/>
      <c r="H7" s="27"/>
      <c r="J7" s="9" t="s">
        <v>13</v>
      </c>
    </row>
    <row r="8" spans="1:12" ht="18" customHeight="1">
      <c r="A8" s="21">
        <f t="shared" si="1"/>
        <v>44473</v>
      </c>
      <c r="B8" s="17">
        <f t="shared" si="0"/>
        <v>2</v>
      </c>
      <c r="C8" s="13" t="s">
        <v>10</v>
      </c>
      <c r="D8" s="22">
        <v>0.375</v>
      </c>
      <c r="E8" s="22">
        <v>0.8125</v>
      </c>
      <c r="F8" s="22">
        <v>0.38541666666666669</v>
      </c>
      <c r="G8" s="22">
        <v>6.25E-2</v>
      </c>
      <c r="H8" s="26"/>
      <c r="J8" s="9" t="s">
        <v>14</v>
      </c>
    </row>
    <row r="9" spans="1:12" ht="18" customHeight="1">
      <c r="A9" s="21">
        <f t="shared" si="1"/>
        <v>44474</v>
      </c>
      <c r="B9" s="17">
        <f t="shared" si="0"/>
        <v>3</v>
      </c>
      <c r="C9" s="13" t="s">
        <v>10</v>
      </c>
      <c r="D9" s="22">
        <v>0.375</v>
      </c>
      <c r="E9" s="22">
        <v>0.8125</v>
      </c>
      <c r="F9" s="22">
        <v>0.38541666666666669</v>
      </c>
      <c r="G9" s="22">
        <v>6.25E-2</v>
      </c>
      <c r="H9" s="26"/>
      <c r="J9" s="9" t="s">
        <v>15</v>
      </c>
    </row>
    <row r="10" spans="1:12" ht="18" customHeight="1">
      <c r="A10" s="21">
        <f t="shared" si="1"/>
        <v>44475</v>
      </c>
      <c r="B10" s="17">
        <f t="shared" si="0"/>
        <v>4</v>
      </c>
      <c r="C10" s="13" t="s">
        <v>10</v>
      </c>
      <c r="D10" s="22">
        <v>0.375</v>
      </c>
      <c r="E10" s="22">
        <v>0.91666666666666663</v>
      </c>
      <c r="F10" s="22">
        <v>0.48958333333333331</v>
      </c>
      <c r="G10" s="22">
        <v>0.16666666666666666</v>
      </c>
      <c r="H10" s="26"/>
    </row>
    <row r="11" spans="1:12" ht="18" customHeight="1">
      <c r="A11" s="21">
        <f t="shared" si="1"/>
        <v>44476</v>
      </c>
      <c r="B11" s="17">
        <f t="shared" si="0"/>
        <v>5</v>
      </c>
      <c r="C11" s="13" t="s">
        <v>10</v>
      </c>
      <c r="D11" s="22">
        <v>0.375</v>
      </c>
      <c r="E11" s="22">
        <v>0.875</v>
      </c>
      <c r="F11" s="22">
        <v>0.44791666666666669</v>
      </c>
      <c r="G11" s="22">
        <v>0.125</v>
      </c>
      <c r="H11" s="26"/>
      <c r="L11" s="16"/>
    </row>
    <row r="12" spans="1:12" ht="18" customHeight="1">
      <c r="A12" s="21">
        <f t="shared" si="1"/>
        <v>44477</v>
      </c>
      <c r="B12" s="17">
        <f t="shared" si="0"/>
        <v>6</v>
      </c>
      <c r="C12" s="13" t="s">
        <v>10</v>
      </c>
      <c r="D12" s="22">
        <v>0.375</v>
      </c>
      <c r="E12" s="22">
        <v>0.97916666666666663</v>
      </c>
      <c r="F12" s="22">
        <v>0.55208333333333337</v>
      </c>
      <c r="G12" s="22">
        <v>0.22916666666666666</v>
      </c>
      <c r="H12" s="26"/>
      <c r="L12" s="16"/>
    </row>
    <row r="13" spans="1:12" ht="18" customHeight="1">
      <c r="A13" s="21">
        <f t="shared" si="1"/>
        <v>44478</v>
      </c>
      <c r="B13" s="17">
        <f t="shared" si="0"/>
        <v>7</v>
      </c>
      <c r="C13" s="23"/>
      <c r="D13" s="24">
        <v>0.52083333333333337</v>
      </c>
      <c r="E13" s="24">
        <v>0.91666666666666663</v>
      </c>
      <c r="F13" s="24">
        <v>0.35416666666666669</v>
      </c>
      <c r="G13" s="24">
        <v>0.35416666666666669</v>
      </c>
      <c r="H13" s="27" t="s">
        <v>36</v>
      </c>
      <c r="L13" s="16"/>
    </row>
    <row r="14" spans="1:12" ht="18" customHeight="1">
      <c r="A14" s="21">
        <f t="shared" si="1"/>
        <v>44479</v>
      </c>
      <c r="B14" s="17">
        <f t="shared" si="0"/>
        <v>1</v>
      </c>
      <c r="C14" s="23"/>
      <c r="D14" s="24">
        <v>0.5625</v>
      </c>
      <c r="E14" s="24">
        <v>0.75</v>
      </c>
      <c r="F14" s="24">
        <v>0.16666666666666666</v>
      </c>
      <c r="G14" s="24">
        <v>0.16666666666666666</v>
      </c>
      <c r="H14" s="27" t="s">
        <v>37</v>
      </c>
    </row>
    <row r="15" spans="1:12" ht="18" customHeight="1">
      <c r="A15" s="21">
        <f t="shared" si="1"/>
        <v>44480</v>
      </c>
      <c r="B15" s="17">
        <f t="shared" si="0"/>
        <v>2</v>
      </c>
      <c r="C15" s="13" t="s">
        <v>10</v>
      </c>
      <c r="D15" s="22">
        <v>0.375</v>
      </c>
      <c r="E15" s="22">
        <v>0.89583333333333337</v>
      </c>
      <c r="F15" s="22">
        <v>0.46875</v>
      </c>
      <c r="G15" s="22">
        <v>0.14583333333333334</v>
      </c>
      <c r="H15" s="26"/>
    </row>
    <row r="16" spans="1:12" ht="18" customHeight="1">
      <c r="A16" s="21">
        <f t="shared" si="1"/>
        <v>44481</v>
      </c>
      <c r="B16" s="17">
        <f t="shared" si="0"/>
        <v>3</v>
      </c>
      <c r="C16" s="13" t="s">
        <v>10</v>
      </c>
      <c r="D16" s="22">
        <v>0.375</v>
      </c>
      <c r="E16" s="22">
        <v>0.72916666666666663</v>
      </c>
      <c r="F16" s="22">
        <v>0.32291666666666669</v>
      </c>
      <c r="G16" s="22">
        <v>0</v>
      </c>
      <c r="H16" s="26" t="s">
        <v>38</v>
      </c>
    </row>
    <row r="17" spans="1:8" ht="18" customHeight="1">
      <c r="A17" s="21">
        <f t="shared" si="1"/>
        <v>44482</v>
      </c>
      <c r="B17" s="17">
        <f t="shared" si="0"/>
        <v>4</v>
      </c>
      <c r="C17" s="13" t="s">
        <v>10</v>
      </c>
      <c r="D17" s="22">
        <v>0.375</v>
      </c>
      <c r="E17" s="22">
        <v>0.8125</v>
      </c>
      <c r="F17" s="22">
        <v>0.38541666666666669</v>
      </c>
      <c r="G17" s="22">
        <v>6.25E-2</v>
      </c>
      <c r="H17" s="26"/>
    </row>
    <row r="18" spans="1:8" ht="18" customHeight="1">
      <c r="A18" s="21">
        <f t="shared" si="1"/>
        <v>44483</v>
      </c>
      <c r="B18" s="17">
        <f t="shared" si="0"/>
        <v>5</v>
      </c>
      <c r="C18" s="13" t="s">
        <v>10</v>
      </c>
      <c r="D18" s="22">
        <v>0.375</v>
      </c>
      <c r="E18" s="22">
        <v>0.85416666666666663</v>
      </c>
      <c r="F18" s="22">
        <v>0.42708333333333331</v>
      </c>
      <c r="G18" s="22">
        <v>0.10416666666666667</v>
      </c>
      <c r="H18" s="26"/>
    </row>
    <row r="19" spans="1:8" ht="18" customHeight="1">
      <c r="A19" s="21">
        <f t="shared" si="1"/>
        <v>44484</v>
      </c>
      <c r="B19" s="17">
        <f t="shared" si="0"/>
        <v>6</v>
      </c>
      <c r="C19" s="13" t="s">
        <v>10</v>
      </c>
      <c r="D19" s="22">
        <v>0.375</v>
      </c>
      <c r="E19" s="22">
        <v>0.83333333333333337</v>
      </c>
      <c r="F19" s="22">
        <v>0.40625</v>
      </c>
      <c r="G19" s="22">
        <v>8.3333333333333329E-2</v>
      </c>
      <c r="H19" s="26"/>
    </row>
    <row r="20" spans="1:8" ht="18" customHeight="1">
      <c r="A20" s="21">
        <f t="shared" si="1"/>
        <v>44485</v>
      </c>
      <c r="B20" s="17">
        <f t="shared" si="0"/>
        <v>7</v>
      </c>
      <c r="C20" s="23"/>
      <c r="D20" s="24"/>
      <c r="E20" s="24"/>
      <c r="F20" s="24"/>
      <c r="G20" s="24"/>
      <c r="H20" s="27"/>
    </row>
    <row r="21" spans="1:8" ht="18" customHeight="1">
      <c r="A21" s="21">
        <f t="shared" si="1"/>
        <v>44486</v>
      </c>
      <c r="B21" s="17">
        <f t="shared" si="0"/>
        <v>1</v>
      </c>
      <c r="C21" s="23"/>
      <c r="D21" s="24"/>
      <c r="E21" s="24"/>
      <c r="F21" s="24"/>
      <c r="G21" s="24"/>
      <c r="H21" s="27"/>
    </row>
    <row r="22" spans="1:8" ht="18" customHeight="1">
      <c r="A22" s="21">
        <f t="shared" si="1"/>
        <v>44487</v>
      </c>
      <c r="B22" s="17">
        <f t="shared" si="0"/>
        <v>2</v>
      </c>
      <c r="C22" s="13" t="s">
        <v>10</v>
      </c>
      <c r="D22" s="22">
        <v>0.375</v>
      </c>
      <c r="E22" s="22">
        <v>0.89583333333333337</v>
      </c>
      <c r="F22" s="22">
        <v>0.46875</v>
      </c>
      <c r="G22" s="22">
        <v>0.14583333333333334</v>
      </c>
      <c r="H22" s="26"/>
    </row>
    <row r="23" spans="1:8" ht="18" customHeight="1">
      <c r="A23" s="21">
        <f t="shared" si="1"/>
        <v>44488</v>
      </c>
      <c r="B23" s="17">
        <f t="shared" si="0"/>
        <v>3</v>
      </c>
      <c r="C23" s="13" t="s">
        <v>10</v>
      </c>
      <c r="D23" s="22">
        <v>0.375</v>
      </c>
      <c r="E23" s="22">
        <v>0.91666666666666663</v>
      </c>
      <c r="F23" s="22">
        <v>0.48958333333333331</v>
      </c>
      <c r="G23" s="22">
        <v>0.16666666666666666</v>
      </c>
      <c r="H23" s="26"/>
    </row>
    <row r="24" spans="1:8" ht="18" customHeight="1">
      <c r="A24" s="21">
        <f t="shared" si="1"/>
        <v>44489</v>
      </c>
      <c r="B24" s="17">
        <f t="shared" si="0"/>
        <v>4</v>
      </c>
      <c r="C24" s="13" t="s">
        <v>10</v>
      </c>
      <c r="D24" s="22">
        <v>0.375</v>
      </c>
      <c r="E24" s="22">
        <v>0.89583333333333337</v>
      </c>
      <c r="F24" s="22">
        <v>0.46875</v>
      </c>
      <c r="G24" s="22">
        <v>0.14583333333333334</v>
      </c>
      <c r="H24" s="26"/>
    </row>
    <row r="25" spans="1:8" ht="18" customHeight="1">
      <c r="A25" s="21">
        <f t="shared" si="1"/>
        <v>44490</v>
      </c>
      <c r="B25" s="17">
        <f t="shared" si="0"/>
        <v>5</v>
      </c>
      <c r="C25" s="13" t="s">
        <v>10</v>
      </c>
      <c r="D25" s="22">
        <v>0.375</v>
      </c>
      <c r="E25" s="22">
        <v>0.83333333333333337</v>
      </c>
      <c r="F25" s="22">
        <v>0.40625</v>
      </c>
      <c r="G25" s="22">
        <v>8.3333333333333329E-2</v>
      </c>
      <c r="H25" s="26"/>
    </row>
    <row r="26" spans="1:8" ht="18" customHeight="1">
      <c r="A26" s="21">
        <f t="shared" si="1"/>
        <v>44491</v>
      </c>
      <c r="B26" s="17">
        <f t="shared" si="0"/>
        <v>6</v>
      </c>
      <c r="C26" s="13" t="s">
        <v>10</v>
      </c>
      <c r="D26" s="22">
        <v>0.375</v>
      </c>
      <c r="E26" s="22">
        <v>0.79166666666666663</v>
      </c>
      <c r="F26" s="22">
        <v>0.36458333333333331</v>
      </c>
      <c r="G26" s="22">
        <v>4.1666666666666664E-2</v>
      </c>
      <c r="H26" s="26"/>
    </row>
    <row r="27" spans="1:8" ht="18" customHeight="1">
      <c r="A27" s="21">
        <f t="shared" si="1"/>
        <v>44492</v>
      </c>
      <c r="B27" s="17">
        <f t="shared" si="0"/>
        <v>7</v>
      </c>
      <c r="C27" s="23"/>
      <c r="D27" s="24">
        <v>0.58333333333333337</v>
      </c>
      <c r="E27" s="24">
        <v>0.70833333333333337</v>
      </c>
      <c r="F27" s="24">
        <v>0.125</v>
      </c>
      <c r="G27" s="24">
        <v>0.125</v>
      </c>
      <c r="H27" s="27"/>
    </row>
    <row r="28" spans="1:8" ht="18" customHeight="1">
      <c r="A28" s="21">
        <f t="shared" si="1"/>
        <v>44493</v>
      </c>
      <c r="B28" s="17">
        <f t="shared" si="0"/>
        <v>1</v>
      </c>
      <c r="C28" s="23"/>
      <c r="D28" s="24"/>
      <c r="E28" s="24"/>
      <c r="F28" s="24"/>
      <c r="G28" s="24"/>
      <c r="H28" s="27"/>
    </row>
    <row r="29" spans="1:8" ht="18" customHeight="1">
      <c r="A29" s="21">
        <f t="shared" si="1"/>
        <v>44494</v>
      </c>
      <c r="B29" s="17">
        <f t="shared" si="0"/>
        <v>2</v>
      </c>
      <c r="C29" s="13" t="s">
        <v>10</v>
      </c>
      <c r="D29" s="22">
        <v>0.375</v>
      </c>
      <c r="E29" s="22">
        <v>0.875</v>
      </c>
      <c r="F29" s="22">
        <v>0.44791666666666669</v>
      </c>
      <c r="G29" s="22">
        <v>0.125</v>
      </c>
      <c r="H29" s="26"/>
    </row>
    <row r="30" spans="1:8" ht="18" customHeight="1">
      <c r="A30" s="21">
        <f t="shared" si="1"/>
        <v>44495</v>
      </c>
      <c r="B30" s="17">
        <f t="shared" si="0"/>
        <v>3</v>
      </c>
      <c r="C30" s="13" t="s">
        <v>10</v>
      </c>
      <c r="D30" s="22">
        <v>0.375</v>
      </c>
      <c r="E30" s="22">
        <v>0.875</v>
      </c>
      <c r="F30" s="22">
        <v>0.44791666666666669</v>
      </c>
      <c r="G30" s="22">
        <v>0.125</v>
      </c>
      <c r="H30" s="26"/>
    </row>
    <row r="31" spans="1:8" ht="18" customHeight="1">
      <c r="A31" s="21">
        <f t="shared" si="1"/>
        <v>44496</v>
      </c>
      <c r="B31" s="17">
        <f t="shared" si="0"/>
        <v>4</v>
      </c>
      <c r="C31" s="13" t="s">
        <v>10</v>
      </c>
      <c r="D31" s="22">
        <v>0.375</v>
      </c>
      <c r="E31" s="22">
        <v>0.875</v>
      </c>
      <c r="F31" s="22">
        <v>0.44791666666666669</v>
      </c>
      <c r="G31" s="22">
        <v>0.125</v>
      </c>
      <c r="H31" s="26" t="s">
        <v>39</v>
      </c>
    </row>
    <row r="32" spans="1:8" ht="18" customHeight="1">
      <c r="A32" s="21">
        <f t="shared" si="1"/>
        <v>44497</v>
      </c>
      <c r="B32" s="17">
        <f t="shared" si="0"/>
        <v>5</v>
      </c>
      <c r="C32" s="13" t="s">
        <v>10</v>
      </c>
      <c r="D32" s="22">
        <v>0.375</v>
      </c>
      <c r="E32" s="22">
        <v>0.875</v>
      </c>
      <c r="F32" s="22">
        <v>0.44791666666666669</v>
      </c>
      <c r="G32" s="22">
        <v>0.125</v>
      </c>
      <c r="H32" s="26"/>
    </row>
    <row r="33" spans="1:10" ht="18" customHeight="1">
      <c r="A33" s="21">
        <f t="shared" si="1"/>
        <v>44498</v>
      </c>
      <c r="B33" s="17">
        <f t="shared" si="0"/>
        <v>6</v>
      </c>
      <c r="C33" s="13" t="s">
        <v>10</v>
      </c>
      <c r="D33" s="22">
        <v>0.375</v>
      </c>
      <c r="E33" s="22">
        <v>0.875</v>
      </c>
      <c r="F33" s="22">
        <v>0.44791666666666669</v>
      </c>
      <c r="G33" s="22">
        <v>0.125</v>
      </c>
      <c r="H33" s="26"/>
    </row>
    <row r="34" spans="1:10" ht="18" customHeight="1">
      <c r="A34" s="21">
        <f t="shared" si="1"/>
        <v>44499</v>
      </c>
      <c r="B34" s="17">
        <f t="shared" si="0"/>
        <v>7</v>
      </c>
      <c r="C34" s="23"/>
      <c r="D34" s="24">
        <v>0.4375</v>
      </c>
      <c r="E34" s="24">
        <v>0.79166666666666663</v>
      </c>
      <c r="F34" s="24">
        <v>0.79166666666666663</v>
      </c>
      <c r="G34" s="24">
        <v>0.3125</v>
      </c>
      <c r="H34" s="27" t="s">
        <v>36</v>
      </c>
    </row>
    <row r="35" spans="1:10" ht="18" customHeight="1">
      <c r="A35" s="21">
        <f t="shared" si="1"/>
        <v>44500</v>
      </c>
      <c r="B35" s="17">
        <f t="shared" si="0"/>
        <v>1</v>
      </c>
      <c r="C35" s="23"/>
      <c r="D35" s="24"/>
      <c r="E35" s="24"/>
      <c r="F35" s="24"/>
      <c r="G35" s="24"/>
      <c r="H35" s="27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10.968749999999996</v>
      </c>
      <c r="G36" s="19">
        <f>SUM(G5:G35)</f>
        <v>3.7083333333333335</v>
      </c>
      <c r="H36" s="20"/>
      <c r="I36" s="16"/>
      <c r="J36" s="16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38" priority="7">
      <formula>WEEKDAY($B5)=7</formula>
    </cfRule>
    <cfRule type="expression" dxfId="37" priority="8">
      <formula>WEEKDAY($B5)=1</formula>
    </cfRule>
  </conditionalFormatting>
  <conditionalFormatting sqref="B6:B32">
    <cfRule type="expression" dxfId="36" priority="5">
      <formula>WEEKDAY($B6)=7</formula>
    </cfRule>
    <cfRule type="expression" dxfId="35" priority="6">
      <formula>WEEKDAY($B6)=1</formula>
    </cfRule>
  </conditionalFormatting>
  <conditionalFormatting sqref="B33:B34">
    <cfRule type="expression" dxfId="34" priority="3">
      <formula>WEEKDAY($B33)=7</formula>
    </cfRule>
    <cfRule type="expression" dxfId="33" priority="4">
      <formula>WEEKDAY($B33)=1</formula>
    </cfRule>
  </conditionalFormatting>
  <conditionalFormatting sqref="B35">
    <cfRule type="expression" dxfId="32" priority="1">
      <formula>WEEKDAY($B35)=7</formula>
    </cfRule>
    <cfRule type="expression" dxfId="31" priority="2">
      <formula>WEEKDAY($B35)=1</formula>
    </cfRule>
  </conditionalFormatting>
  <dataValidations count="1">
    <dataValidation type="list" allowBlank="1" showInputMessage="1" showErrorMessage="1" sqref="C5:C35" xr:uid="{8A4CF96C-1021-4B05-95FC-CE9F7A1B538B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C2483-4C54-4585-BEC8-15BA6720A837}">
  <sheetPr codeName="Sheet13"/>
  <dimension ref="A1:L36"/>
  <sheetViews>
    <sheetView view="pageBreakPreview" zoomScaleNormal="100" zoomScaleSheetLayoutView="100" workbookViewId="0">
      <selection sqref="A1:D1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40</v>
      </c>
      <c r="B1" s="34"/>
      <c r="C1" s="34"/>
      <c r="D1" s="34"/>
      <c r="E1" s="14" t="s">
        <v>0</v>
      </c>
      <c r="F1" s="18">
        <v>44501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44501</v>
      </c>
      <c r="B5" s="17">
        <f>IF(A5="","",WEEKDAY(A5))</f>
        <v>2</v>
      </c>
      <c r="C5" s="13"/>
      <c r="D5" s="22"/>
      <c r="E5" s="22"/>
      <c r="F5" s="22"/>
      <c r="G5" s="22"/>
      <c r="H5" s="26"/>
      <c r="J5" s="9" t="s">
        <v>11</v>
      </c>
    </row>
    <row r="6" spans="1:12" ht="18" customHeight="1">
      <c r="A6" s="21">
        <f>A5+1</f>
        <v>44502</v>
      </c>
      <c r="B6" s="17">
        <f t="shared" ref="B6:B34" si="0">IF(A6="","",WEEKDAY(A6))</f>
        <v>3</v>
      </c>
      <c r="C6" s="13"/>
      <c r="D6" s="22"/>
      <c r="E6" s="22"/>
      <c r="F6" s="22"/>
      <c r="G6" s="22"/>
      <c r="H6" s="26"/>
      <c r="J6" s="9" t="s">
        <v>12</v>
      </c>
    </row>
    <row r="7" spans="1:12" ht="18" customHeight="1">
      <c r="A7" s="31">
        <f t="shared" ref="A7:A34" si="1">A6+1</f>
        <v>44503</v>
      </c>
      <c r="B7" s="25">
        <f t="shared" si="0"/>
        <v>4</v>
      </c>
      <c r="C7" s="23"/>
      <c r="D7" s="24"/>
      <c r="E7" s="24"/>
      <c r="F7" s="24"/>
      <c r="G7" s="24"/>
      <c r="H7" s="27"/>
      <c r="J7" s="9" t="s">
        <v>13</v>
      </c>
    </row>
    <row r="8" spans="1:12" ht="18" customHeight="1">
      <c r="A8" s="21">
        <f t="shared" si="1"/>
        <v>44504</v>
      </c>
      <c r="B8" s="17">
        <f t="shared" si="0"/>
        <v>5</v>
      </c>
      <c r="C8" s="13"/>
      <c r="D8" s="22"/>
      <c r="E8" s="22"/>
      <c r="F8" s="22"/>
      <c r="G8" s="22"/>
      <c r="H8" s="26"/>
      <c r="J8" s="9" t="s">
        <v>14</v>
      </c>
    </row>
    <row r="9" spans="1:12" ht="18" customHeight="1">
      <c r="A9" s="21">
        <f t="shared" si="1"/>
        <v>44505</v>
      </c>
      <c r="B9" s="17">
        <f t="shared" si="0"/>
        <v>6</v>
      </c>
      <c r="C9" s="13"/>
      <c r="D9" s="22"/>
      <c r="E9" s="22"/>
      <c r="F9" s="22"/>
      <c r="G9" s="22"/>
      <c r="H9" s="26"/>
      <c r="J9" s="9" t="s">
        <v>15</v>
      </c>
    </row>
    <row r="10" spans="1:12" ht="18" customHeight="1">
      <c r="A10" s="21">
        <f t="shared" si="1"/>
        <v>44506</v>
      </c>
      <c r="B10" s="17">
        <f t="shared" si="0"/>
        <v>7</v>
      </c>
      <c r="C10" s="23"/>
      <c r="D10" s="24"/>
      <c r="E10" s="24"/>
      <c r="F10" s="24"/>
      <c r="G10" s="24"/>
      <c r="H10" s="27"/>
    </row>
    <row r="11" spans="1:12" ht="18" customHeight="1">
      <c r="A11" s="21">
        <f t="shared" si="1"/>
        <v>44507</v>
      </c>
      <c r="B11" s="17">
        <f t="shared" si="0"/>
        <v>1</v>
      </c>
      <c r="C11" s="23"/>
      <c r="D11" s="24"/>
      <c r="E11" s="24"/>
      <c r="F11" s="24"/>
      <c r="G11" s="24"/>
      <c r="H11" s="27"/>
      <c r="L11" s="16"/>
    </row>
    <row r="12" spans="1:12" ht="18" customHeight="1">
      <c r="A12" s="21">
        <f t="shared" si="1"/>
        <v>44508</v>
      </c>
      <c r="B12" s="17">
        <f t="shared" si="0"/>
        <v>2</v>
      </c>
      <c r="C12" s="13"/>
      <c r="D12" s="22"/>
      <c r="E12" s="22"/>
      <c r="F12" s="22"/>
      <c r="G12" s="22"/>
      <c r="H12" s="26"/>
      <c r="L12" s="16"/>
    </row>
    <row r="13" spans="1:12" ht="18" customHeight="1">
      <c r="A13" s="21">
        <f t="shared" si="1"/>
        <v>44509</v>
      </c>
      <c r="B13" s="17">
        <f t="shared" si="0"/>
        <v>3</v>
      </c>
      <c r="C13" s="13"/>
      <c r="D13" s="22"/>
      <c r="E13" s="22"/>
      <c r="F13" s="22"/>
      <c r="G13" s="22"/>
      <c r="H13" s="26"/>
      <c r="L13" s="16"/>
    </row>
    <row r="14" spans="1:12" ht="18" customHeight="1">
      <c r="A14" s="21">
        <f t="shared" si="1"/>
        <v>44510</v>
      </c>
      <c r="B14" s="17">
        <f t="shared" si="0"/>
        <v>4</v>
      </c>
      <c r="C14" s="13"/>
      <c r="D14" s="22"/>
      <c r="E14" s="22"/>
      <c r="F14" s="22"/>
      <c r="G14" s="22"/>
      <c r="H14" s="26"/>
    </row>
    <row r="15" spans="1:12" ht="18" customHeight="1">
      <c r="A15" s="21">
        <f t="shared" si="1"/>
        <v>44511</v>
      </c>
      <c r="B15" s="17">
        <f t="shared" si="0"/>
        <v>5</v>
      </c>
      <c r="C15" s="13"/>
      <c r="D15" s="22"/>
      <c r="E15" s="22"/>
      <c r="F15" s="22"/>
      <c r="G15" s="22"/>
      <c r="H15" s="26"/>
    </row>
    <row r="16" spans="1:12" ht="18" customHeight="1">
      <c r="A16" s="21">
        <f t="shared" si="1"/>
        <v>44512</v>
      </c>
      <c r="B16" s="17">
        <f t="shared" si="0"/>
        <v>6</v>
      </c>
      <c r="C16" s="13"/>
      <c r="D16" s="22"/>
      <c r="E16" s="22"/>
      <c r="F16" s="22"/>
      <c r="G16" s="22"/>
      <c r="H16" s="26"/>
    </row>
    <row r="17" spans="1:8" ht="18" customHeight="1">
      <c r="A17" s="21">
        <f t="shared" si="1"/>
        <v>44513</v>
      </c>
      <c r="B17" s="17">
        <f t="shared" si="0"/>
        <v>7</v>
      </c>
      <c r="C17" s="23"/>
      <c r="D17" s="24"/>
      <c r="E17" s="24"/>
      <c r="F17" s="24"/>
      <c r="G17" s="24"/>
      <c r="H17" s="27"/>
    </row>
    <row r="18" spans="1:8" ht="18" customHeight="1">
      <c r="A18" s="21">
        <f t="shared" si="1"/>
        <v>44514</v>
      </c>
      <c r="B18" s="17">
        <f t="shared" si="0"/>
        <v>1</v>
      </c>
      <c r="C18" s="23"/>
      <c r="D18" s="24"/>
      <c r="E18" s="24"/>
      <c r="F18" s="24"/>
      <c r="G18" s="24"/>
      <c r="H18" s="27"/>
    </row>
    <row r="19" spans="1:8" ht="18" customHeight="1">
      <c r="A19" s="21">
        <f t="shared" si="1"/>
        <v>44515</v>
      </c>
      <c r="B19" s="17">
        <f t="shared" si="0"/>
        <v>2</v>
      </c>
      <c r="C19" s="13"/>
      <c r="D19" s="22"/>
      <c r="E19" s="22"/>
      <c r="F19" s="22"/>
      <c r="G19" s="22"/>
      <c r="H19" s="26"/>
    </row>
    <row r="20" spans="1:8" ht="18" customHeight="1">
      <c r="A20" s="21">
        <f t="shared" si="1"/>
        <v>44516</v>
      </c>
      <c r="B20" s="17">
        <f t="shared" si="0"/>
        <v>3</v>
      </c>
      <c r="C20" s="13"/>
      <c r="D20" s="22"/>
      <c r="E20" s="22"/>
      <c r="F20" s="22"/>
      <c r="G20" s="22"/>
      <c r="H20" s="26"/>
    </row>
    <row r="21" spans="1:8" ht="18" customHeight="1">
      <c r="A21" s="21">
        <f t="shared" si="1"/>
        <v>44517</v>
      </c>
      <c r="B21" s="17">
        <f t="shared" si="0"/>
        <v>4</v>
      </c>
      <c r="C21" s="13"/>
      <c r="D21" s="22"/>
      <c r="E21" s="22"/>
      <c r="F21" s="22"/>
      <c r="G21" s="22"/>
      <c r="H21" s="26"/>
    </row>
    <row r="22" spans="1:8" ht="18" customHeight="1">
      <c r="A22" s="21">
        <f t="shared" si="1"/>
        <v>44518</v>
      </c>
      <c r="B22" s="17">
        <f t="shared" si="0"/>
        <v>5</v>
      </c>
      <c r="C22" s="13"/>
      <c r="D22" s="22"/>
      <c r="E22" s="22"/>
      <c r="F22" s="22"/>
      <c r="G22" s="22"/>
      <c r="H22" s="26"/>
    </row>
    <row r="23" spans="1:8" ht="18" customHeight="1">
      <c r="A23" s="21">
        <f t="shared" si="1"/>
        <v>44519</v>
      </c>
      <c r="B23" s="17">
        <f t="shared" si="0"/>
        <v>6</v>
      </c>
      <c r="C23" s="13"/>
      <c r="D23" s="22"/>
      <c r="E23" s="22"/>
      <c r="F23" s="22"/>
      <c r="G23" s="22"/>
      <c r="H23" s="26"/>
    </row>
    <row r="24" spans="1:8" ht="18" customHeight="1">
      <c r="A24" s="21">
        <f t="shared" si="1"/>
        <v>44520</v>
      </c>
      <c r="B24" s="17">
        <f t="shared" si="0"/>
        <v>7</v>
      </c>
      <c r="C24" s="23"/>
      <c r="D24" s="24"/>
      <c r="E24" s="24"/>
      <c r="F24" s="24"/>
      <c r="G24" s="24"/>
      <c r="H24" s="27"/>
    </row>
    <row r="25" spans="1:8" ht="18" customHeight="1">
      <c r="A25" s="21">
        <f t="shared" si="1"/>
        <v>44521</v>
      </c>
      <c r="B25" s="17">
        <f t="shared" si="0"/>
        <v>1</v>
      </c>
      <c r="C25" s="23"/>
      <c r="D25" s="24"/>
      <c r="E25" s="24"/>
      <c r="F25" s="24"/>
      <c r="G25" s="24"/>
      <c r="H25" s="27"/>
    </row>
    <row r="26" spans="1:8" ht="18" customHeight="1">
      <c r="A26" s="21">
        <f t="shared" si="1"/>
        <v>44522</v>
      </c>
      <c r="B26" s="17">
        <f t="shared" si="0"/>
        <v>2</v>
      </c>
      <c r="C26" s="13"/>
      <c r="D26" s="22"/>
      <c r="E26" s="22"/>
      <c r="F26" s="22"/>
      <c r="G26" s="22"/>
      <c r="H26" s="26"/>
    </row>
    <row r="27" spans="1:8" ht="18" customHeight="1">
      <c r="A27" s="31">
        <f t="shared" si="1"/>
        <v>44523</v>
      </c>
      <c r="B27" s="25">
        <f t="shared" si="0"/>
        <v>3</v>
      </c>
      <c r="C27" s="23"/>
      <c r="D27" s="24"/>
      <c r="E27" s="24"/>
      <c r="F27" s="24"/>
      <c r="G27" s="24"/>
      <c r="H27" s="27"/>
    </row>
    <row r="28" spans="1:8" ht="18" customHeight="1">
      <c r="A28" s="21">
        <f t="shared" si="1"/>
        <v>44524</v>
      </c>
      <c r="B28" s="17">
        <f t="shared" si="0"/>
        <v>4</v>
      </c>
      <c r="C28" s="13"/>
      <c r="D28" s="22"/>
      <c r="E28" s="22"/>
      <c r="F28" s="22"/>
      <c r="G28" s="22"/>
      <c r="H28" s="26"/>
    </row>
    <row r="29" spans="1:8" ht="18" customHeight="1">
      <c r="A29" s="21">
        <f t="shared" si="1"/>
        <v>44525</v>
      </c>
      <c r="B29" s="17">
        <f t="shared" si="0"/>
        <v>5</v>
      </c>
      <c r="C29" s="13"/>
      <c r="D29" s="22"/>
      <c r="E29" s="22"/>
      <c r="F29" s="22"/>
      <c r="G29" s="22"/>
      <c r="H29" s="26"/>
    </row>
    <row r="30" spans="1:8" ht="18" customHeight="1">
      <c r="A30" s="21">
        <f t="shared" si="1"/>
        <v>44526</v>
      </c>
      <c r="B30" s="17">
        <f t="shared" si="0"/>
        <v>6</v>
      </c>
      <c r="C30" s="13"/>
      <c r="D30" s="22"/>
      <c r="E30" s="22"/>
      <c r="F30" s="22"/>
      <c r="G30" s="22"/>
      <c r="H30" s="26"/>
    </row>
    <row r="31" spans="1:8" ht="18" customHeight="1">
      <c r="A31" s="21">
        <f t="shared" si="1"/>
        <v>44527</v>
      </c>
      <c r="B31" s="17">
        <f t="shared" si="0"/>
        <v>7</v>
      </c>
      <c r="C31" s="23"/>
      <c r="D31" s="24"/>
      <c r="E31" s="24"/>
      <c r="F31" s="24"/>
      <c r="G31" s="24"/>
      <c r="H31" s="27"/>
    </row>
    <row r="32" spans="1:8" ht="18" customHeight="1">
      <c r="A32" s="21">
        <f t="shared" si="1"/>
        <v>44528</v>
      </c>
      <c r="B32" s="17">
        <f t="shared" si="0"/>
        <v>1</v>
      </c>
      <c r="C32" s="23"/>
      <c r="D32" s="24"/>
      <c r="E32" s="24"/>
      <c r="F32" s="24"/>
      <c r="G32" s="24"/>
      <c r="H32" s="27"/>
    </row>
    <row r="33" spans="1:10" ht="18" customHeight="1">
      <c r="A33" s="21">
        <f t="shared" si="1"/>
        <v>44529</v>
      </c>
      <c r="B33" s="17">
        <f t="shared" si="0"/>
        <v>2</v>
      </c>
      <c r="C33" s="13"/>
      <c r="D33" s="22"/>
      <c r="E33" s="22"/>
      <c r="F33" s="22"/>
      <c r="G33" s="22"/>
      <c r="H33" s="26"/>
    </row>
    <row r="34" spans="1:10" ht="18" customHeight="1">
      <c r="A34" s="21">
        <f t="shared" si="1"/>
        <v>44530</v>
      </c>
      <c r="B34" s="17">
        <f t="shared" si="0"/>
        <v>3</v>
      </c>
      <c r="C34" s="13"/>
      <c r="D34" s="22"/>
      <c r="E34" s="22"/>
      <c r="F34" s="22"/>
      <c r="G34" s="22"/>
      <c r="H34" s="26"/>
    </row>
    <row r="35" spans="1:10" ht="18" customHeight="1">
      <c r="A35" s="21"/>
      <c r="B35" s="17"/>
      <c r="C35" s="23"/>
      <c r="D35" s="24"/>
      <c r="E35" s="24"/>
      <c r="F35" s="24"/>
      <c r="G35" s="24"/>
      <c r="H35" s="27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0</v>
      </c>
      <c r="G36" s="19">
        <f>SUM(G5:G35)</f>
        <v>0</v>
      </c>
      <c r="H36" s="20"/>
      <c r="I36" s="16"/>
      <c r="J36" s="16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30" priority="7">
      <formula>WEEKDAY($B5)=7</formula>
    </cfRule>
    <cfRule type="expression" dxfId="29" priority="8">
      <formula>WEEKDAY($B5)=1</formula>
    </cfRule>
  </conditionalFormatting>
  <conditionalFormatting sqref="B6:B32">
    <cfRule type="expression" dxfId="28" priority="5">
      <formula>WEEKDAY($B6)=7</formula>
    </cfRule>
    <cfRule type="expression" dxfId="27" priority="6">
      <formula>WEEKDAY($B6)=1</formula>
    </cfRule>
  </conditionalFormatting>
  <conditionalFormatting sqref="B33:B34">
    <cfRule type="expression" dxfId="26" priority="3">
      <formula>WEEKDAY($B33)=7</formula>
    </cfRule>
    <cfRule type="expression" dxfId="25" priority="4">
      <formula>WEEKDAY($B33)=1</formula>
    </cfRule>
  </conditionalFormatting>
  <conditionalFormatting sqref="B35">
    <cfRule type="expression" dxfId="24" priority="1">
      <formula>WEEKDAY($B35)=7</formula>
    </cfRule>
    <cfRule type="expression" dxfId="23" priority="2">
      <formula>WEEKDAY($B35)=1</formula>
    </cfRule>
  </conditionalFormatting>
  <dataValidations count="1">
    <dataValidation type="list" allowBlank="1" showInputMessage="1" showErrorMessage="1" sqref="C5:C35" xr:uid="{EA37060A-1240-4162-93A0-8728828FC106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I48"/>
  <sheetViews>
    <sheetView zoomScale="115" zoomScaleNormal="115" workbookViewId="0">
      <selection activeCell="B5" sqref="B5:E5"/>
    </sheetView>
  </sheetViews>
  <sheetFormatPr defaultColWidth="9" defaultRowHeight="12"/>
  <cols>
    <col min="1" max="16384" width="9" style="2"/>
  </cols>
  <sheetData>
    <row r="1" spans="1:9" ht="23.25" customHeight="1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H1" s="1" t="s">
        <v>47</v>
      </c>
      <c r="I1" s="1" t="s">
        <v>48</v>
      </c>
    </row>
    <row r="2" spans="1:9" ht="23.25" customHeight="1">
      <c r="A2" s="3" t="s">
        <v>49</v>
      </c>
      <c r="B2" s="4">
        <v>0.375</v>
      </c>
      <c r="C2" s="4">
        <v>0.72916666666666663</v>
      </c>
      <c r="D2" s="4">
        <v>0.32291666666666669</v>
      </c>
      <c r="E2" s="5">
        <v>0</v>
      </c>
      <c r="F2" s="5">
        <v>0</v>
      </c>
      <c r="H2" s="4">
        <v>0.5</v>
      </c>
      <c r="I2" s="4">
        <v>0.53125</v>
      </c>
    </row>
    <row r="3" spans="1:9" ht="23.25" customHeight="1">
      <c r="A3" s="6"/>
      <c r="B3" s="4">
        <v>0.375</v>
      </c>
      <c r="C3" s="4">
        <v>0.79166666666666663</v>
      </c>
      <c r="D3" s="4">
        <v>0.36458333333333331</v>
      </c>
      <c r="E3" s="5">
        <v>4.1666666666666664E-2</v>
      </c>
      <c r="F3" s="5">
        <v>0</v>
      </c>
    </row>
    <row r="4" spans="1:9" ht="23.25" customHeight="1">
      <c r="A4" s="6"/>
      <c r="B4" s="4">
        <v>0.375</v>
      </c>
      <c r="C4" s="4">
        <v>0.8125</v>
      </c>
      <c r="D4" s="4">
        <v>0.38541666666666669</v>
      </c>
      <c r="E4" s="5">
        <v>6.25E-2</v>
      </c>
      <c r="F4" s="5">
        <v>0</v>
      </c>
    </row>
    <row r="5" spans="1:9" ht="23.25" customHeight="1">
      <c r="A5" s="6"/>
      <c r="B5" s="4">
        <v>0.375</v>
      </c>
      <c r="C5" s="4">
        <v>0.83333333333333337</v>
      </c>
      <c r="D5" s="4">
        <v>0.40625</v>
      </c>
      <c r="E5" s="5">
        <v>8.3333333333333329E-2</v>
      </c>
      <c r="F5" s="5">
        <v>0</v>
      </c>
    </row>
    <row r="6" spans="1:9" ht="23.25" customHeight="1">
      <c r="A6" s="6"/>
      <c r="B6" s="4">
        <v>0.375</v>
      </c>
      <c r="C6" s="4">
        <v>0.85416666666666663</v>
      </c>
      <c r="D6" s="4">
        <v>0.42708333333333331</v>
      </c>
      <c r="E6" s="5">
        <v>0.10416666666666667</v>
      </c>
      <c r="F6" s="5">
        <v>0</v>
      </c>
    </row>
    <row r="7" spans="1:9" ht="23.25" customHeight="1">
      <c r="A7" s="6"/>
      <c r="B7" s="4">
        <v>0.375</v>
      </c>
      <c r="C7" s="4">
        <v>0.875</v>
      </c>
      <c r="D7" s="4">
        <v>0.44791666666666669</v>
      </c>
      <c r="E7" s="5">
        <v>0.125</v>
      </c>
      <c r="F7" s="5">
        <v>0</v>
      </c>
    </row>
    <row r="8" spans="1:9" ht="23.25" customHeight="1">
      <c r="A8" s="6"/>
      <c r="B8" s="4">
        <v>0.375</v>
      </c>
      <c r="C8" s="4">
        <v>0.89583333333333337</v>
      </c>
      <c r="D8" s="4">
        <v>0.46875</v>
      </c>
      <c r="E8" s="5">
        <v>0.14583333333333334</v>
      </c>
      <c r="F8" s="5">
        <v>0</v>
      </c>
    </row>
    <row r="9" spans="1:9" ht="23.25" customHeight="1">
      <c r="A9" s="6"/>
      <c r="B9" s="4">
        <v>0.375</v>
      </c>
      <c r="C9" s="4">
        <v>0.91666666666666663</v>
      </c>
      <c r="D9" s="4">
        <v>0.48958333333333331</v>
      </c>
      <c r="E9" s="5">
        <v>0.16666666666666666</v>
      </c>
      <c r="F9" s="5"/>
    </row>
    <row r="10" spans="1:9" ht="23.25" customHeight="1">
      <c r="A10" s="6"/>
      <c r="B10" s="4">
        <v>0.375</v>
      </c>
      <c r="C10" s="4">
        <v>0.9375</v>
      </c>
      <c r="D10" s="4">
        <v>0.51041666666666663</v>
      </c>
      <c r="E10" s="5">
        <v>0.1875</v>
      </c>
      <c r="F10" s="5">
        <v>4.1666666666666664E-2</v>
      </c>
    </row>
    <row r="11" spans="1:9" ht="23.25" customHeight="1">
      <c r="A11" s="6"/>
      <c r="B11" s="4">
        <v>0.375</v>
      </c>
      <c r="C11" s="4">
        <v>0.95833333333333337</v>
      </c>
      <c r="D11" s="4">
        <v>0.53125</v>
      </c>
      <c r="E11" s="5">
        <v>0.20833333333333334</v>
      </c>
      <c r="F11" s="5">
        <v>6.25E-2</v>
      </c>
    </row>
    <row r="12" spans="1:9" ht="23.25" customHeight="1">
      <c r="A12" s="7"/>
      <c r="B12" s="4">
        <v>0.375</v>
      </c>
      <c r="C12" s="4">
        <v>0.97916666666666663</v>
      </c>
      <c r="D12" s="4">
        <v>0.55208333333333337</v>
      </c>
      <c r="E12" s="5">
        <v>0.22916666666666666</v>
      </c>
      <c r="F12" s="5">
        <v>8.3333333333333329E-2</v>
      </c>
    </row>
    <row r="13" spans="1:9" ht="23.25" customHeight="1">
      <c r="A13" s="3" t="s">
        <v>50</v>
      </c>
      <c r="B13" s="4">
        <v>0.32291666666666669</v>
      </c>
      <c r="C13" s="4">
        <v>0.67708333333333337</v>
      </c>
      <c r="D13" s="4">
        <v>0.32291666666666669</v>
      </c>
      <c r="E13" s="5">
        <v>0</v>
      </c>
      <c r="F13" s="5">
        <v>0</v>
      </c>
    </row>
    <row r="14" spans="1:9" ht="23.25" customHeight="1">
      <c r="A14" s="6"/>
      <c r="B14" s="4">
        <v>0.32291666666666669</v>
      </c>
      <c r="C14" s="4">
        <v>0.72916666666666663</v>
      </c>
      <c r="D14" s="4">
        <v>0.36458333333333331</v>
      </c>
      <c r="E14" s="4">
        <v>4.1666666666666664E-2</v>
      </c>
      <c r="F14" s="5">
        <v>0</v>
      </c>
    </row>
    <row r="15" spans="1:9" ht="23.25" customHeight="1">
      <c r="A15" s="6"/>
      <c r="B15" s="4">
        <v>0.32291666666666669</v>
      </c>
      <c r="C15" s="4">
        <v>0.75</v>
      </c>
      <c r="D15" s="4">
        <v>0.38541666666666669</v>
      </c>
      <c r="E15" s="4">
        <v>6.25E-2</v>
      </c>
      <c r="F15" s="5">
        <v>0</v>
      </c>
    </row>
    <row r="16" spans="1:9" ht="23.25" customHeight="1">
      <c r="A16" s="6"/>
      <c r="B16" s="4">
        <v>0.32291666666666669</v>
      </c>
      <c r="C16" s="4">
        <v>0.77083333333333337</v>
      </c>
      <c r="D16" s="4">
        <v>0.40625</v>
      </c>
      <c r="E16" s="4">
        <v>8.3333333333333329E-2</v>
      </c>
      <c r="F16" s="5">
        <v>0</v>
      </c>
    </row>
    <row r="17" spans="1:6" ht="23.25" customHeight="1">
      <c r="A17" s="6"/>
      <c r="B17" s="4">
        <v>0.32291666666666669</v>
      </c>
      <c r="C17" s="4">
        <v>0.8125</v>
      </c>
      <c r="D17" s="4">
        <v>0.42708333333333331</v>
      </c>
      <c r="E17" s="4">
        <v>0.10416666666666667</v>
      </c>
      <c r="F17" s="5">
        <v>0</v>
      </c>
    </row>
    <row r="18" spans="1:6" ht="23.25" customHeight="1">
      <c r="A18" s="6"/>
      <c r="B18" s="4">
        <v>0.32291666666666669</v>
      </c>
      <c r="C18" s="4">
        <v>0.83333333333333337</v>
      </c>
      <c r="D18" s="4">
        <v>0.44791666666666669</v>
      </c>
      <c r="E18" s="4">
        <v>0.125</v>
      </c>
      <c r="F18" s="5">
        <v>0</v>
      </c>
    </row>
    <row r="19" spans="1:6" ht="23.25" customHeight="1">
      <c r="A19" s="6"/>
      <c r="B19" s="4">
        <v>0.32291666666666669</v>
      </c>
      <c r="C19" s="4">
        <v>0.85416666666666663</v>
      </c>
      <c r="D19" s="4">
        <v>0.46875</v>
      </c>
      <c r="E19" s="4">
        <v>0.14583333333333334</v>
      </c>
      <c r="F19" s="5">
        <v>0</v>
      </c>
    </row>
    <row r="20" spans="1:6" ht="23.25" customHeight="1">
      <c r="A20" s="6"/>
      <c r="B20" s="4">
        <v>0.32291666666666669</v>
      </c>
      <c r="C20" s="4">
        <v>0.875</v>
      </c>
      <c r="D20" s="4">
        <v>0.48958333333333331</v>
      </c>
      <c r="E20" s="4">
        <v>0.16666666666666666</v>
      </c>
      <c r="F20" s="5">
        <v>0</v>
      </c>
    </row>
    <row r="21" spans="1:6" ht="23.25" customHeight="1">
      <c r="A21" s="6"/>
      <c r="B21" s="4">
        <v>0.32291666666666669</v>
      </c>
      <c r="C21" s="4">
        <v>0.89583333333333337</v>
      </c>
      <c r="D21" s="4">
        <v>0.51041666666666663</v>
      </c>
      <c r="E21" s="4">
        <v>0.1875</v>
      </c>
      <c r="F21" s="5">
        <v>0</v>
      </c>
    </row>
    <row r="22" spans="1:6" ht="23.25" customHeight="1">
      <c r="A22" s="6"/>
      <c r="B22" s="4">
        <v>0.32291666666666669</v>
      </c>
      <c r="C22" s="4">
        <v>0.9375</v>
      </c>
      <c r="D22" s="4">
        <v>0.53125</v>
      </c>
      <c r="E22" s="4">
        <v>0.20833333333333334</v>
      </c>
      <c r="F22" s="8">
        <v>2.0833333333333332E-2</v>
      </c>
    </row>
    <row r="23" spans="1:6" ht="23.25" customHeight="1">
      <c r="A23" s="6"/>
      <c r="B23" s="4">
        <v>0.32291666666666669</v>
      </c>
      <c r="C23" s="4">
        <v>0.95833333333333337</v>
      </c>
      <c r="D23" s="4">
        <v>0.55208333333333337</v>
      </c>
      <c r="E23" s="4">
        <v>0.22916666666666666</v>
      </c>
      <c r="F23" s="8">
        <v>4.1666666666666664E-2</v>
      </c>
    </row>
    <row r="24" spans="1:6" ht="23.25" customHeight="1">
      <c r="A24" s="7"/>
      <c r="B24" s="4">
        <v>0.36805555555555558</v>
      </c>
      <c r="C24" s="4">
        <v>0.97916666666666663</v>
      </c>
      <c r="D24" s="4">
        <v>0.55208333333333337</v>
      </c>
      <c r="E24" s="4">
        <v>0.22916666666666666</v>
      </c>
      <c r="F24" s="8">
        <v>8.3333333333333329E-2</v>
      </c>
    </row>
    <row r="25" spans="1:6" ht="23.25" customHeight="1">
      <c r="A25" s="3" t="s">
        <v>51</v>
      </c>
      <c r="B25" s="4">
        <v>0.53125</v>
      </c>
      <c r="C25" s="4">
        <v>0.88541666666666663</v>
      </c>
      <c r="D25" s="4">
        <v>0.32291666666666669</v>
      </c>
      <c r="E25" s="5">
        <v>0</v>
      </c>
      <c r="F25" s="5">
        <v>0</v>
      </c>
    </row>
    <row r="26" spans="1:6" ht="23.25" customHeight="1">
      <c r="A26" s="6"/>
      <c r="B26" s="4">
        <v>0.53125</v>
      </c>
      <c r="C26" s="4">
        <v>0.94097222222222221</v>
      </c>
      <c r="D26" s="4">
        <v>0.36458333333333331</v>
      </c>
      <c r="E26" s="4">
        <v>4.1666666666666664E-2</v>
      </c>
      <c r="F26" s="4">
        <v>4.1666666666666664E-2</v>
      </c>
    </row>
    <row r="27" spans="1:6" ht="23.25" customHeight="1">
      <c r="A27" s="6"/>
      <c r="B27" s="4">
        <v>0.53125</v>
      </c>
      <c r="C27" s="4">
        <v>0.96180555555555547</v>
      </c>
      <c r="D27" s="4">
        <v>0.38541666666666669</v>
      </c>
      <c r="E27" s="4">
        <v>6.25E-2</v>
      </c>
      <c r="F27" s="4">
        <v>6.25E-2</v>
      </c>
    </row>
    <row r="28" spans="1:6" ht="23.25" customHeight="1">
      <c r="A28" s="6"/>
      <c r="B28" s="4">
        <v>0.53125</v>
      </c>
      <c r="C28" s="4">
        <v>0.98263888888888884</v>
      </c>
      <c r="D28" s="4">
        <v>0.40625</v>
      </c>
      <c r="E28" s="4">
        <v>8.3333333333333329E-2</v>
      </c>
      <c r="F28" s="4">
        <v>8.3333333333333329E-2</v>
      </c>
    </row>
    <row r="29" spans="1:6" ht="23.25" customHeight="1">
      <c r="A29" s="6"/>
      <c r="B29" s="4">
        <v>0.53125</v>
      </c>
      <c r="C29" s="4">
        <v>3.472222222222222E-3</v>
      </c>
      <c r="D29" s="4">
        <v>0.42708333333333331</v>
      </c>
      <c r="E29" s="4">
        <v>0.10416666666666667</v>
      </c>
      <c r="F29" s="4">
        <v>0.10416666666666667</v>
      </c>
    </row>
    <row r="30" spans="1:6" ht="23.25" customHeight="1">
      <c r="A30" s="6"/>
      <c r="B30" s="4">
        <v>0.53125</v>
      </c>
      <c r="C30" s="4">
        <v>4.1666666666666664E-2</v>
      </c>
      <c r="D30" s="4">
        <v>0.44791666666666669</v>
      </c>
      <c r="E30" s="4">
        <v>0.125</v>
      </c>
      <c r="F30" s="4">
        <v>0.125</v>
      </c>
    </row>
    <row r="31" spans="1:6" ht="23.25" customHeight="1">
      <c r="A31" s="6"/>
      <c r="B31" s="4">
        <v>0.53125</v>
      </c>
      <c r="C31" s="4">
        <v>6.25E-2</v>
      </c>
      <c r="D31" s="4">
        <v>0.46875</v>
      </c>
      <c r="E31" s="4">
        <v>0.14583333333333334</v>
      </c>
      <c r="F31" s="4">
        <v>0.14583333333333334</v>
      </c>
    </row>
    <row r="32" spans="1:6" ht="23.25" customHeight="1">
      <c r="A32" s="6"/>
      <c r="B32" s="4">
        <v>0.53125</v>
      </c>
      <c r="C32" s="4">
        <v>8.3333333333333329E-2</v>
      </c>
      <c r="D32" s="4">
        <v>0.48958333333333331</v>
      </c>
      <c r="E32" s="4">
        <v>0.16666666666666666</v>
      </c>
      <c r="F32" s="8">
        <v>0.16666666666666666</v>
      </c>
    </row>
    <row r="33" spans="1:6" ht="23.25" customHeight="1">
      <c r="A33" s="6"/>
      <c r="B33" s="4">
        <v>0.53125</v>
      </c>
      <c r="C33" s="4">
        <v>0.10416666666666667</v>
      </c>
      <c r="D33" s="4">
        <v>0.51041666666666663</v>
      </c>
      <c r="E33" s="4">
        <v>0.1875</v>
      </c>
      <c r="F33" s="8">
        <v>0.1875</v>
      </c>
    </row>
    <row r="34" spans="1:6" ht="23.25" customHeight="1">
      <c r="A34" s="6"/>
      <c r="B34" s="4">
        <v>0.53125</v>
      </c>
      <c r="C34" s="4">
        <v>0.125</v>
      </c>
      <c r="D34" s="4">
        <v>0.53125</v>
      </c>
      <c r="E34" s="4">
        <v>0.20833333333333334</v>
      </c>
      <c r="F34" s="8">
        <v>0.20833333333333334</v>
      </c>
    </row>
    <row r="35" spans="1:6" ht="23.25" customHeight="1">
      <c r="A35" s="6"/>
      <c r="B35" s="4">
        <v>0.53125</v>
      </c>
      <c r="C35" s="4">
        <v>0.14583333333333334</v>
      </c>
      <c r="D35" s="4">
        <v>0.55208333333333337</v>
      </c>
      <c r="E35" s="4">
        <v>0.22916666666666666</v>
      </c>
      <c r="F35" s="8">
        <v>0.22916666666666666</v>
      </c>
    </row>
    <row r="36" spans="1:6" ht="23.25" customHeight="1">
      <c r="A36" s="7"/>
      <c r="B36" s="4">
        <v>0.53125</v>
      </c>
      <c r="C36" s="4">
        <v>0.1875</v>
      </c>
      <c r="D36" s="4">
        <v>0.57291666666666663</v>
      </c>
      <c r="E36" s="4">
        <v>0.25</v>
      </c>
      <c r="F36" s="8">
        <v>0.25</v>
      </c>
    </row>
    <row r="37" spans="1:6" ht="23.25" customHeight="1">
      <c r="A37" s="3" t="s">
        <v>52</v>
      </c>
      <c r="B37" s="4">
        <v>0.625</v>
      </c>
      <c r="C37" s="4">
        <v>0.97916666666666663</v>
      </c>
      <c r="D37" s="4">
        <v>0.32291666666666669</v>
      </c>
      <c r="E37" s="5">
        <v>0</v>
      </c>
      <c r="F37" s="5">
        <v>0</v>
      </c>
    </row>
    <row r="38" spans="1:6" ht="23.25" customHeight="1">
      <c r="A38" s="6"/>
      <c r="B38" s="4">
        <v>0.625</v>
      </c>
      <c r="C38" s="4">
        <v>3.4722222222222224E-2</v>
      </c>
      <c r="D38" s="4">
        <v>0.36458333333333331</v>
      </c>
      <c r="E38" s="4">
        <v>4.1666666666666664E-2</v>
      </c>
      <c r="F38" s="8">
        <v>4.1666666666666664E-2</v>
      </c>
    </row>
    <row r="39" spans="1:6" ht="23.25" customHeight="1">
      <c r="A39" s="6"/>
      <c r="B39" s="4">
        <v>0.625</v>
      </c>
      <c r="C39" s="4">
        <v>5.5555555555555552E-2</v>
      </c>
      <c r="D39" s="4">
        <v>0.38541666666666669</v>
      </c>
      <c r="E39" s="4">
        <v>6.25E-2</v>
      </c>
      <c r="F39" s="8">
        <v>6.25E-2</v>
      </c>
    </row>
    <row r="40" spans="1:6" ht="23.25" customHeight="1">
      <c r="A40" s="6"/>
      <c r="B40" s="4">
        <v>0.625</v>
      </c>
      <c r="C40" s="4">
        <v>7.6388888888888895E-2</v>
      </c>
      <c r="D40" s="4">
        <v>0.40625</v>
      </c>
      <c r="E40" s="4">
        <v>8.3333333333333329E-2</v>
      </c>
      <c r="F40" s="8">
        <v>8.3333333333333329E-2</v>
      </c>
    </row>
    <row r="41" spans="1:6" ht="23.25" customHeight="1">
      <c r="A41" s="6"/>
      <c r="B41" s="4">
        <v>0.625</v>
      </c>
      <c r="C41" s="4">
        <v>9.0277777777777776E-2</v>
      </c>
      <c r="D41" s="4">
        <v>0.42708333333333331</v>
      </c>
      <c r="E41" s="4">
        <v>0.10416666666666667</v>
      </c>
      <c r="F41" s="8">
        <v>0.10416666666666667</v>
      </c>
    </row>
    <row r="42" spans="1:6" ht="23.25" customHeight="1">
      <c r="A42" s="6"/>
      <c r="B42" s="4">
        <v>0.625</v>
      </c>
      <c r="C42" s="4">
        <v>0.11805555555555557</v>
      </c>
      <c r="D42" s="4">
        <v>0.44791666666666669</v>
      </c>
      <c r="E42" s="4">
        <v>0.125</v>
      </c>
      <c r="F42" s="8">
        <v>0.125</v>
      </c>
    </row>
    <row r="43" spans="1:6" ht="23.25" customHeight="1">
      <c r="A43" s="6"/>
      <c r="B43" s="4">
        <v>0.625</v>
      </c>
      <c r="C43" s="4">
        <v>0.1388888888888889</v>
      </c>
      <c r="D43" s="4">
        <v>0.46875</v>
      </c>
      <c r="E43" s="4">
        <v>0.14583333333333334</v>
      </c>
      <c r="F43" s="8">
        <v>0.14583333333333334</v>
      </c>
    </row>
    <row r="44" spans="1:6" ht="23.25" customHeight="1">
      <c r="A44" s="6"/>
      <c r="B44" s="4">
        <v>0.625</v>
      </c>
      <c r="C44" s="4">
        <v>0.1875</v>
      </c>
      <c r="D44" s="4">
        <v>0.48958333333333331</v>
      </c>
      <c r="E44" s="4">
        <v>0.16666666666666666</v>
      </c>
      <c r="F44" s="8">
        <v>0.16666666666666666</v>
      </c>
    </row>
    <row r="45" spans="1:6" ht="23.25" customHeight="1">
      <c r="A45" s="6"/>
      <c r="B45" s="4">
        <v>0.625</v>
      </c>
      <c r="C45" s="4">
        <v>0.20833333333333334</v>
      </c>
      <c r="D45" s="4">
        <v>0.51041666666666663</v>
      </c>
      <c r="E45" s="4">
        <v>0.1875</v>
      </c>
      <c r="F45" s="8">
        <v>0.1875</v>
      </c>
    </row>
    <row r="46" spans="1:6" ht="23.25" customHeight="1">
      <c r="A46" s="6"/>
      <c r="B46" s="4">
        <v>0.625</v>
      </c>
      <c r="C46" s="4">
        <v>0.22916666666666666</v>
      </c>
      <c r="D46" s="4">
        <v>0.53125</v>
      </c>
      <c r="E46" s="4">
        <v>0.20833333333333334</v>
      </c>
      <c r="F46" s="8">
        <v>0.1875</v>
      </c>
    </row>
    <row r="47" spans="1:6" ht="23.25" customHeight="1">
      <c r="A47" s="6"/>
      <c r="B47" s="4">
        <v>0.625</v>
      </c>
      <c r="C47" s="4">
        <v>0.25</v>
      </c>
      <c r="D47" s="4">
        <v>0.55208333333333337</v>
      </c>
      <c r="E47" s="4">
        <v>0.22916666666666666</v>
      </c>
      <c r="F47" s="8">
        <v>0.1875</v>
      </c>
    </row>
    <row r="48" spans="1:6" ht="22.5" customHeight="1">
      <c r="A48" s="7"/>
      <c r="B48" s="4">
        <v>0.625</v>
      </c>
      <c r="C48" s="4">
        <v>0.28472222222222221</v>
      </c>
      <c r="D48" s="4">
        <v>0.57291666666666663</v>
      </c>
      <c r="E48" s="4">
        <v>0.25</v>
      </c>
      <c r="F48" s="8">
        <v>0.1875</v>
      </c>
    </row>
  </sheetData>
  <phoneticPr fontId="1"/>
  <conditionalFormatting sqref="C3:E3">
    <cfRule type="timePeriod" dxfId="22" priority="1" timePeriod="lastMonth">
      <formula>AND(MONTH(C3)=MONTH(EDATE(TODAY(),0-1)),YEAR(C3)=YEAR(EDATE(TODAY(),0-1)))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L36"/>
  <sheetViews>
    <sheetView zoomScale="85" zoomScaleNormal="85" workbookViewId="0">
      <selection activeCell="H18" sqref="H18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53</v>
      </c>
      <c r="B1" s="34"/>
      <c r="C1" s="34"/>
      <c r="D1" s="34"/>
      <c r="E1" s="14" t="s">
        <v>0</v>
      </c>
      <c r="F1" s="18">
        <v>43922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43922</v>
      </c>
      <c r="B5" s="17">
        <f>IF(A5="","",WEEKDAY(A5))</f>
        <v>4</v>
      </c>
      <c r="C5" s="13"/>
      <c r="D5" s="22"/>
      <c r="E5" s="22"/>
      <c r="F5" s="22"/>
      <c r="G5" s="22"/>
      <c r="H5" s="26"/>
      <c r="J5" s="9" t="s">
        <v>11</v>
      </c>
    </row>
    <row r="6" spans="1:12" ht="18" customHeight="1">
      <c r="A6" s="21">
        <f>A5+1</f>
        <v>43923</v>
      </c>
      <c r="B6" s="17">
        <f t="shared" ref="B6:B35" si="0">IF(A6="","",WEEKDAY(A6))</f>
        <v>5</v>
      </c>
      <c r="C6" s="13"/>
      <c r="D6" s="22"/>
      <c r="E6" s="22"/>
      <c r="F6" s="22"/>
      <c r="G6" s="22"/>
      <c r="H6" s="26"/>
      <c r="J6" s="9" t="s">
        <v>12</v>
      </c>
    </row>
    <row r="7" spans="1:12" ht="18" customHeight="1">
      <c r="A7" s="21">
        <f t="shared" ref="A7:A35" si="1">A6+1</f>
        <v>43924</v>
      </c>
      <c r="B7" s="17">
        <f t="shared" si="0"/>
        <v>6</v>
      </c>
      <c r="C7" s="13"/>
      <c r="D7" s="22"/>
      <c r="E7" s="22"/>
      <c r="F7" s="22"/>
      <c r="G7" s="22"/>
      <c r="H7" s="26"/>
      <c r="J7" s="9" t="s">
        <v>13</v>
      </c>
    </row>
    <row r="8" spans="1:12" ht="18" customHeight="1">
      <c r="A8" s="21">
        <f t="shared" si="1"/>
        <v>43925</v>
      </c>
      <c r="B8" s="17">
        <f t="shared" si="0"/>
        <v>7</v>
      </c>
      <c r="C8" s="13"/>
      <c r="D8" s="22"/>
      <c r="E8" s="22"/>
      <c r="F8" s="22"/>
      <c r="G8" s="22"/>
      <c r="H8" s="26"/>
      <c r="J8" s="9" t="s">
        <v>14</v>
      </c>
    </row>
    <row r="9" spans="1:12" ht="18" customHeight="1">
      <c r="A9" s="21">
        <f t="shared" si="1"/>
        <v>43926</v>
      </c>
      <c r="B9" s="17">
        <f t="shared" si="0"/>
        <v>1</v>
      </c>
      <c r="C9" s="13"/>
      <c r="D9" s="22"/>
      <c r="E9" s="22"/>
      <c r="F9" s="22"/>
      <c r="G9" s="22"/>
      <c r="H9" s="26"/>
      <c r="J9" s="9" t="s">
        <v>15</v>
      </c>
    </row>
    <row r="10" spans="1:12" ht="18" customHeight="1">
      <c r="A10" s="21">
        <f t="shared" si="1"/>
        <v>43927</v>
      </c>
      <c r="B10" s="17">
        <f t="shared" si="0"/>
        <v>2</v>
      </c>
      <c r="C10" s="13"/>
      <c r="D10" s="22"/>
      <c r="E10" s="22"/>
      <c r="F10" s="22"/>
      <c r="G10" s="22"/>
      <c r="H10" s="26"/>
    </row>
    <row r="11" spans="1:12" ht="18" customHeight="1">
      <c r="A11" s="21">
        <f t="shared" si="1"/>
        <v>43928</v>
      </c>
      <c r="B11" s="17">
        <f t="shared" si="0"/>
        <v>3</v>
      </c>
      <c r="C11" s="13"/>
      <c r="D11" s="22"/>
      <c r="E11" s="22"/>
      <c r="F11" s="22"/>
      <c r="G11" s="22"/>
      <c r="H11" s="26"/>
      <c r="L11" s="16"/>
    </row>
    <row r="12" spans="1:12" ht="18" customHeight="1">
      <c r="A12" s="21">
        <f t="shared" si="1"/>
        <v>43929</v>
      </c>
      <c r="B12" s="17">
        <f t="shared" si="0"/>
        <v>4</v>
      </c>
      <c r="C12" s="13"/>
      <c r="D12" s="22"/>
      <c r="E12" s="22"/>
      <c r="F12" s="22"/>
      <c r="G12" s="22"/>
      <c r="H12" s="26"/>
      <c r="L12" s="16"/>
    </row>
    <row r="13" spans="1:12" ht="18" customHeight="1">
      <c r="A13" s="21">
        <f t="shared" si="1"/>
        <v>43930</v>
      </c>
      <c r="B13" s="17">
        <f t="shared" si="0"/>
        <v>5</v>
      </c>
      <c r="C13" s="13"/>
      <c r="D13" s="22"/>
      <c r="E13" s="22"/>
      <c r="F13" s="22"/>
      <c r="G13" s="22"/>
      <c r="H13" s="26"/>
      <c r="L13" s="16"/>
    </row>
    <row r="14" spans="1:12" ht="18" customHeight="1">
      <c r="A14" s="21">
        <f t="shared" si="1"/>
        <v>43931</v>
      </c>
      <c r="B14" s="17">
        <f t="shared" si="0"/>
        <v>6</v>
      </c>
      <c r="C14" s="13"/>
      <c r="D14" s="22"/>
      <c r="E14" s="22"/>
      <c r="F14" s="22"/>
      <c r="G14" s="22"/>
      <c r="H14" s="26"/>
    </row>
    <row r="15" spans="1:12" ht="18" customHeight="1">
      <c r="A15" s="21">
        <f t="shared" si="1"/>
        <v>43932</v>
      </c>
      <c r="B15" s="17">
        <f t="shared" si="0"/>
        <v>7</v>
      </c>
      <c r="C15" s="13"/>
      <c r="D15" s="22"/>
      <c r="E15" s="22"/>
      <c r="F15" s="22"/>
      <c r="G15" s="22"/>
      <c r="H15" s="26"/>
    </row>
    <row r="16" spans="1:12" ht="18" customHeight="1">
      <c r="A16" s="21">
        <f t="shared" si="1"/>
        <v>43933</v>
      </c>
      <c r="B16" s="17">
        <f t="shared" si="0"/>
        <v>1</v>
      </c>
      <c r="C16" s="13"/>
      <c r="D16" s="22"/>
      <c r="E16" s="22"/>
      <c r="F16" s="22"/>
      <c r="G16" s="22"/>
      <c r="H16" s="26"/>
    </row>
    <row r="17" spans="1:8" ht="18" customHeight="1">
      <c r="A17" s="21">
        <f t="shared" si="1"/>
        <v>43934</v>
      </c>
      <c r="B17" s="17">
        <f t="shared" si="0"/>
        <v>2</v>
      </c>
      <c r="C17" s="13"/>
      <c r="D17" s="22"/>
      <c r="E17" s="22"/>
      <c r="F17" s="22"/>
      <c r="G17" s="22"/>
      <c r="H17" s="26"/>
    </row>
    <row r="18" spans="1:8" ht="18" customHeight="1">
      <c r="A18" s="21">
        <f t="shared" si="1"/>
        <v>43935</v>
      </c>
      <c r="B18" s="17">
        <f t="shared" si="0"/>
        <v>3</v>
      </c>
      <c r="C18" s="13"/>
      <c r="D18" s="22"/>
      <c r="E18" s="22"/>
      <c r="F18" s="22"/>
      <c r="G18" s="22"/>
      <c r="H18" s="26"/>
    </row>
    <row r="19" spans="1:8" ht="18" customHeight="1">
      <c r="A19" s="21">
        <f t="shared" si="1"/>
        <v>43936</v>
      </c>
      <c r="B19" s="17">
        <f t="shared" si="0"/>
        <v>4</v>
      </c>
      <c r="C19" s="13"/>
      <c r="D19" s="22"/>
      <c r="E19" s="22"/>
      <c r="F19" s="22"/>
      <c r="G19" s="22"/>
      <c r="H19" s="26"/>
    </row>
    <row r="20" spans="1:8" ht="18" customHeight="1">
      <c r="A20" s="21">
        <f t="shared" si="1"/>
        <v>43937</v>
      </c>
      <c r="B20" s="17">
        <f t="shared" si="0"/>
        <v>5</v>
      </c>
      <c r="C20" s="13"/>
      <c r="D20" s="22"/>
      <c r="E20" s="22"/>
      <c r="F20" s="22"/>
      <c r="G20" s="22"/>
      <c r="H20" s="26"/>
    </row>
    <row r="21" spans="1:8" ht="18" customHeight="1">
      <c r="A21" s="21">
        <f t="shared" si="1"/>
        <v>43938</v>
      </c>
      <c r="B21" s="17">
        <f t="shared" si="0"/>
        <v>6</v>
      </c>
      <c r="C21" s="13"/>
      <c r="D21" s="22"/>
      <c r="E21" s="22"/>
      <c r="F21" s="22"/>
      <c r="G21" s="22"/>
      <c r="H21" s="26"/>
    </row>
    <row r="22" spans="1:8" ht="18" customHeight="1">
      <c r="A22" s="21">
        <f t="shared" si="1"/>
        <v>43939</v>
      </c>
      <c r="B22" s="17">
        <f t="shared" si="0"/>
        <v>7</v>
      </c>
      <c r="C22" s="13"/>
      <c r="D22" s="22"/>
      <c r="E22" s="22"/>
      <c r="F22" s="22"/>
      <c r="G22" s="22"/>
      <c r="H22" s="26"/>
    </row>
    <row r="23" spans="1:8" ht="18" customHeight="1">
      <c r="A23" s="21">
        <f t="shared" si="1"/>
        <v>43940</v>
      </c>
      <c r="B23" s="17">
        <f t="shared" si="0"/>
        <v>1</v>
      </c>
      <c r="C23" s="13"/>
      <c r="D23" s="22"/>
      <c r="E23" s="22"/>
      <c r="F23" s="22"/>
      <c r="G23" s="22"/>
      <c r="H23" s="26"/>
    </row>
    <row r="24" spans="1:8" ht="18" customHeight="1">
      <c r="A24" s="21">
        <f t="shared" si="1"/>
        <v>43941</v>
      </c>
      <c r="B24" s="17">
        <f t="shared" si="0"/>
        <v>2</v>
      </c>
      <c r="C24" s="13"/>
      <c r="D24" s="22"/>
      <c r="E24" s="22"/>
      <c r="F24" s="22"/>
      <c r="G24" s="22"/>
      <c r="H24" s="26"/>
    </row>
    <row r="25" spans="1:8" ht="18" customHeight="1">
      <c r="A25" s="21">
        <f t="shared" si="1"/>
        <v>43942</v>
      </c>
      <c r="B25" s="17">
        <f t="shared" si="0"/>
        <v>3</v>
      </c>
      <c r="C25" s="13"/>
      <c r="D25" s="22"/>
      <c r="E25" s="22"/>
      <c r="F25" s="22"/>
      <c r="G25" s="22"/>
      <c r="H25" s="26"/>
    </row>
    <row r="26" spans="1:8" ht="18" customHeight="1">
      <c r="A26" s="21">
        <f t="shared" si="1"/>
        <v>43943</v>
      </c>
      <c r="B26" s="17">
        <f t="shared" si="0"/>
        <v>4</v>
      </c>
      <c r="C26" s="13"/>
      <c r="D26" s="22"/>
      <c r="E26" s="22"/>
      <c r="F26" s="22"/>
      <c r="G26" s="22"/>
      <c r="H26" s="26"/>
    </row>
    <row r="27" spans="1:8" ht="18" customHeight="1">
      <c r="A27" s="21">
        <f t="shared" si="1"/>
        <v>43944</v>
      </c>
      <c r="B27" s="17">
        <f t="shared" si="0"/>
        <v>5</v>
      </c>
      <c r="C27" s="13"/>
      <c r="D27" s="22"/>
      <c r="E27" s="22"/>
      <c r="F27" s="22"/>
      <c r="G27" s="22"/>
      <c r="H27" s="26"/>
    </row>
    <row r="28" spans="1:8" ht="18" customHeight="1">
      <c r="A28" s="21">
        <f t="shared" si="1"/>
        <v>43945</v>
      </c>
      <c r="B28" s="17">
        <f t="shared" si="0"/>
        <v>6</v>
      </c>
      <c r="C28" s="13"/>
      <c r="D28" s="22"/>
      <c r="E28" s="22"/>
      <c r="F28" s="22"/>
      <c r="G28" s="22"/>
      <c r="H28" s="26"/>
    </row>
    <row r="29" spans="1:8" ht="18" customHeight="1">
      <c r="A29" s="21">
        <f t="shared" si="1"/>
        <v>43946</v>
      </c>
      <c r="B29" s="17">
        <f t="shared" si="0"/>
        <v>7</v>
      </c>
      <c r="C29" s="13"/>
      <c r="D29" s="22"/>
      <c r="E29" s="22"/>
      <c r="F29" s="22"/>
      <c r="G29" s="22"/>
      <c r="H29" s="26"/>
    </row>
    <row r="30" spans="1:8" ht="18" customHeight="1">
      <c r="A30" s="21">
        <f t="shared" si="1"/>
        <v>43947</v>
      </c>
      <c r="B30" s="17">
        <f t="shared" si="0"/>
        <v>1</v>
      </c>
      <c r="C30" s="13"/>
      <c r="D30" s="22"/>
      <c r="E30" s="22"/>
      <c r="F30" s="22"/>
      <c r="G30" s="22"/>
      <c r="H30" s="26"/>
    </row>
    <row r="31" spans="1:8" ht="18" customHeight="1">
      <c r="A31" s="21">
        <f t="shared" si="1"/>
        <v>43948</v>
      </c>
      <c r="B31" s="17">
        <f t="shared" si="0"/>
        <v>2</v>
      </c>
      <c r="C31" s="13"/>
      <c r="D31" s="22"/>
      <c r="E31" s="22"/>
      <c r="F31" s="22"/>
      <c r="G31" s="22"/>
      <c r="H31" s="26"/>
    </row>
    <row r="32" spans="1:8" ht="18" customHeight="1">
      <c r="A32" s="21">
        <f t="shared" si="1"/>
        <v>43949</v>
      </c>
      <c r="B32" s="17">
        <f t="shared" si="0"/>
        <v>3</v>
      </c>
      <c r="C32" s="13"/>
      <c r="D32" s="22"/>
      <c r="E32" s="22"/>
      <c r="F32" s="22"/>
      <c r="G32" s="22"/>
      <c r="H32" s="26"/>
    </row>
    <row r="33" spans="1:10" ht="18" customHeight="1">
      <c r="A33" s="21">
        <f t="shared" si="1"/>
        <v>43950</v>
      </c>
      <c r="B33" s="25">
        <f t="shared" si="0"/>
        <v>4</v>
      </c>
      <c r="C33" s="13"/>
      <c r="D33" s="22"/>
      <c r="E33" s="22"/>
      <c r="F33" s="22"/>
      <c r="G33" s="22"/>
      <c r="H33" s="26" t="s">
        <v>54</v>
      </c>
    </row>
    <row r="34" spans="1:10" ht="18" customHeight="1">
      <c r="A34" s="21">
        <f t="shared" si="1"/>
        <v>43951</v>
      </c>
      <c r="B34" s="17">
        <f t="shared" si="0"/>
        <v>5</v>
      </c>
      <c r="C34" s="13"/>
      <c r="D34" s="22"/>
      <c r="E34" s="22"/>
      <c r="F34" s="22"/>
      <c r="G34" s="22"/>
      <c r="H34" s="26"/>
    </row>
    <row r="35" spans="1:10" ht="18" customHeight="1">
      <c r="A35" s="21">
        <f t="shared" si="1"/>
        <v>43952</v>
      </c>
      <c r="B35" s="17">
        <f t="shared" si="0"/>
        <v>6</v>
      </c>
      <c r="C35" s="23"/>
      <c r="D35" s="24"/>
      <c r="E35" s="24"/>
      <c r="F35" s="24"/>
      <c r="G35" s="24"/>
      <c r="H35" s="26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0</v>
      </c>
      <c r="G36" s="19">
        <f>SUM(G5:G35)</f>
        <v>0</v>
      </c>
      <c r="H36" s="20"/>
      <c r="I36" s="16"/>
      <c r="J36" s="16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21" priority="3">
      <formula>WEEKDAY($B5)=7</formula>
    </cfRule>
    <cfRule type="expression" dxfId="20" priority="4">
      <formula>WEEKDAY($B5)=1</formula>
    </cfRule>
  </conditionalFormatting>
  <conditionalFormatting sqref="B6:B35">
    <cfRule type="expression" dxfId="19" priority="1">
      <formula>WEEKDAY($B6)=7</formula>
    </cfRule>
    <cfRule type="expression" dxfId="18" priority="2">
      <formula>WEEKDAY($B6)=1</formula>
    </cfRule>
  </conditionalFormatting>
  <dataValidations count="2">
    <dataValidation type="list" allowBlank="1" showInputMessage="1" showErrorMessage="1" sqref="C5" xr:uid="{00000000-0002-0000-0800-000000000000}">
      <formula1>"　　,通常,Ａ変,Ｅ変,Ｂ変,休出"</formula1>
    </dataValidation>
    <dataValidation type="list" allowBlank="1" showInputMessage="1" showErrorMessage="1" sqref="C6:C35" xr:uid="{00000000-0002-0000-0800-000001000000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A49AC-50C3-4E43-824E-63F2EF7EAD1F}">
  <sheetPr codeName="Sheet10"/>
  <dimension ref="A1:L37"/>
  <sheetViews>
    <sheetView view="pageBreakPreview" zoomScaleNormal="100" zoomScaleSheetLayoutView="100" workbookViewId="0">
      <selection activeCell="E8" sqref="E8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60</v>
      </c>
      <c r="B1" s="34"/>
      <c r="C1" s="34"/>
      <c r="D1" s="34"/>
      <c r="E1" s="14" t="s">
        <v>0</v>
      </c>
      <c r="F1" s="18">
        <v>44743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  <c r="I4" s="28"/>
    </row>
    <row r="5" spans="1:12" ht="18" customHeight="1">
      <c r="A5" s="21">
        <f>F1</f>
        <v>44743</v>
      </c>
      <c r="B5" s="17">
        <f>IF(A5="","",WEEKDAY(A5))</f>
        <v>6</v>
      </c>
      <c r="C5" s="13" t="s">
        <v>10</v>
      </c>
      <c r="D5" s="22">
        <v>0.375</v>
      </c>
      <c r="E5" s="22">
        <v>0.625</v>
      </c>
      <c r="F5" s="22">
        <v>0.25</v>
      </c>
      <c r="G5" s="22">
        <v>0</v>
      </c>
      <c r="H5" s="26" t="s">
        <v>57</v>
      </c>
      <c r="I5" s="28"/>
      <c r="J5" s="9" t="s">
        <v>11</v>
      </c>
    </row>
    <row r="6" spans="1:12" ht="18" customHeight="1">
      <c r="A6" s="21">
        <f>A5+1</f>
        <v>44744</v>
      </c>
      <c r="B6" s="17">
        <f t="shared" ref="B6:B34" si="0">IF(A6="","",WEEKDAY(A6))</f>
        <v>7</v>
      </c>
      <c r="C6" s="23"/>
      <c r="D6" s="24"/>
      <c r="E6" s="24"/>
      <c r="F6" s="24"/>
      <c r="G6" s="24"/>
      <c r="H6" s="27"/>
      <c r="I6" s="28"/>
      <c r="J6" s="9" t="s">
        <v>12</v>
      </c>
    </row>
    <row r="7" spans="1:12" ht="18" customHeight="1">
      <c r="A7" s="21">
        <f t="shared" ref="A7:A34" si="1">A6+1</f>
        <v>44745</v>
      </c>
      <c r="B7" s="17">
        <f t="shared" si="0"/>
        <v>1</v>
      </c>
      <c r="C7" s="23"/>
      <c r="D7" s="24"/>
      <c r="E7" s="24"/>
      <c r="F7" s="24"/>
      <c r="G7" s="24"/>
      <c r="H7" s="27"/>
      <c r="I7" s="28"/>
      <c r="J7" s="9" t="s">
        <v>13</v>
      </c>
    </row>
    <row r="8" spans="1:12" ht="18" customHeight="1">
      <c r="A8" s="21">
        <f t="shared" si="1"/>
        <v>44746</v>
      </c>
      <c r="B8" s="17">
        <f t="shared" si="0"/>
        <v>2</v>
      </c>
      <c r="C8" s="13" t="s">
        <v>10</v>
      </c>
      <c r="D8" s="22">
        <v>0.375</v>
      </c>
      <c r="E8" s="22">
        <v>0.72916666666666663</v>
      </c>
      <c r="F8" s="22">
        <v>0.32291666666666669</v>
      </c>
      <c r="G8" s="22">
        <v>0</v>
      </c>
      <c r="H8" s="26"/>
      <c r="I8" s="28"/>
      <c r="J8" s="9" t="s">
        <v>14</v>
      </c>
    </row>
    <row r="9" spans="1:12" ht="18" customHeight="1">
      <c r="A9" s="21">
        <f t="shared" si="1"/>
        <v>44747</v>
      </c>
      <c r="B9" s="17">
        <f t="shared" si="0"/>
        <v>3</v>
      </c>
      <c r="C9" s="13" t="s">
        <v>10</v>
      </c>
      <c r="D9" s="22">
        <v>0.375</v>
      </c>
      <c r="E9" s="22">
        <v>0.79166666666666663</v>
      </c>
      <c r="F9" s="22">
        <v>0.36458333333333331</v>
      </c>
      <c r="G9" s="22">
        <v>4.1666666666666664E-2</v>
      </c>
      <c r="H9" s="26"/>
      <c r="I9" s="28"/>
      <c r="J9" s="9" t="s">
        <v>15</v>
      </c>
    </row>
    <row r="10" spans="1:12" ht="18" customHeight="1">
      <c r="A10" s="21">
        <f t="shared" si="1"/>
        <v>44748</v>
      </c>
      <c r="B10" s="17">
        <f t="shared" si="0"/>
        <v>4</v>
      </c>
      <c r="C10" s="13" t="s">
        <v>10</v>
      </c>
      <c r="D10" s="22">
        <v>0.375</v>
      </c>
      <c r="E10" s="22">
        <v>0.8125</v>
      </c>
      <c r="F10" s="22">
        <v>0.38541666666666669</v>
      </c>
      <c r="G10" s="22">
        <v>6.25E-2</v>
      </c>
      <c r="H10" s="26"/>
      <c r="I10" s="28"/>
    </row>
    <row r="11" spans="1:12" ht="18" customHeight="1">
      <c r="A11" s="21">
        <f t="shared" si="1"/>
        <v>44749</v>
      </c>
      <c r="B11" s="17">
        <f t="shared" si="0"/>
        <v>5</v>
      </c>
      <c r="C11" s="13" t="s">
        <v>10</v>
      </c>
      <c r="D11" s="22">
        <v>0.375</v>
      </c>
      <c r="E11" s="22">
        <v>0.72916666666666663</v>
      </c>
      <c r="F11" s="22">
        <v>0.32291666666666669</v>
      </c>
      <c r="G11" s="22">
        <v>0</v>
      </c>
      <c r="H11" s="26"/>
      <c r="I11" s="28"/>
      <c r="L11" s="16"/>
    </row>
    <row r="12" spans="1:12" ht="18" customHeight="1">
      <c r="A12" s="21">
        <f t="shared" si="1"/>
        <v>44750</v>
      </c>
      <c r="B12" s="17">
        <f t="shared" si="0"/>
        <v>6</v>
      </c>
      <c r="C12" s="13" t="s">
        <v>10</v>
      </c>
      <c r="D12" s="22">
        <v>0.375</v>
      </c>
      <c r="E12" s="22">
        <v>0.72916666666666663</v>
      </c>
      <c r="F12" s="22">
        <v>0.32291666666666669</v>
      </c>
      <c r="G12" s="22">
        <v>0</v>
      </c>
      <c r="H12" s="26"/>
      <c r="I12" s="28"/>
      <c r="L12" s="16"/>
    </row>
    <row r="13" spans="1:12" ht="18" customHeight="1">
      <c r="A13" s="21">
        <f t="shared" si="1"/>
        <v>44751</v>
      </c>
      <c r="B13" s="17">
        <f t="shared" si="0"/>
        <v>7</v>
      </c>
      <c r="C13" s="23"/>
      <c r="D13" s="24"/>
      <c r="E13" s="24"/>
      <c r="F13" s="24"/>
      <c r="G13" s="24"/>
      <c r="H13" s="27"/>
      <c r="I13" s="28"/>
      <c r="L13" s="16"/>
    </row>
    <row r="14" spans="1:12" ht="18" customHeight="1">
      <c r="A14" s="21">
        <f t="shared" si="1"/>
        <v>44752</v>
      </c>
      <c r="B14" s="17">
        <f t="shared" si="0"/>
        <v>1</v>
      </c>
      <c r="C14" s="23"/>
      <c r="D14" s="24"/>
      <c r="E14" s="24"/>
      <c r="F14" s="24"/>
      <c r="G14" s="24"/>
      <c r="H14" s="27"/>
      <c r="I14" s="28"/>
    </row>
    <row r="15" spans="1:12" ht="18" customHeight="1">
      <c r="A15" s="21">
        <f t="shared" si="1"/>
        <v>44753</v>
      </c>
      <c r="B15" s="17">
        <f t="shared" si="0"/>
        <v>2</v>
      </c>
      <c r="C15" s="13" t="s">
        <v>10</v>
      </c>
      <c r="D15" s="22">
        <v>0.375</v>
      </c>
      <c r="E15" s="22">
        <v>0.5</v>
      </c>
      <c r="F15" s="22">
        <v>0.125</v>
      </c>
      <c r="G15" s="22">
        <v>0</v>
      </c>
      <c r="H15" s="26" t="s">
        <v>58</v>
      </c>
      <c r="I15" s="28"/>
    </row>
    <row r="16" spans="1:12" ht="18" customHeight="1">
      <c r="A16" s="21">
        <f t="shared" si="1"/>
        <v>44754</v>
      </c>
      <c r="B16" s="17">
        <f t="shared" si="0"/>
        <v>3</v>
      </c>
      <c r="C16" s="13" t="s">
        <v>10</v>
      </c>
      <c r="D16" s="22">
        <v>0.375</v>
      </c>
      <c r="E16" s="22">
        <v>0.72916666666666663</v>
      </c>
      <c r="F16" s="22">
        <v>0.32291666666666669</v>
      </c>
      <c r="G16" s="22">
        <v>0</v>
      </c>
      <c r="H16" s="26"/>
      <c r="I16" s="28"/>
    </row>
    <row r="17" spans="1:9" ht="18" customHeight="1">
      <c r="A17" s="21">
        <f t="shared" si="1"/>
        <v>44755</v>
      </c>
      <c r="B17" s="17">
        <f t="shared" si="0"/>
        <v>4</v>
      </c>
      <c r="C17" s="13" t="s">
        <v>10</v>
      </c>
      <c r="D17" s="22">
        <v>0.375</v>
      </c>
      <c r="E17" s="22">
        <v>0.79166666666666663</v>
      </c>
      <c r="F17" s="22">
        <v>0.36458333333333331</v>
      </c>
      <c r="G17" s="22">
        <v>4.1666666666666664E-2</v>
      </c>
      <c r="H17" s="26"/>
      <c r="I17" s="28"/>
    </row>
    <row r="18" spans="1:9" ht="18" customHeight="1">
      <c r="A18" s="21">
        <f t="shared" si="1"/>
        <v>44756</v>
      </c>
      <c r="B18" s="17">
        <f t="shared" si="0"/>
        <v>5</v>
      </c>
      <c r="C18" s="13" t="s">
        <v>10</v>
      </c>
      <c r="D18" s="22">
        <v>0.375</v>
      </c>
      <c r="E18" s="22">
        <v>0.72916666666666663</v>
      </c>
      <c r="F18" s="22">
        <v>0.32291666666666669</v>
      </c>
      <c r="G18" s="22">
        <v>0</v>
      </c>
      <c r="H18" s="26"/>
      <c r="I18" s="28"/>
    </row>
    <row r="19" spans="1:9" ht="18" customHeight="1">
      <c r="A19" s="21">
        <f t="shared" si="1"/>
        <v>44757</v>
      </c>
      <c r="B19" s="17">
        <f t="shared" si="0"/>
        <v>6</v>
      </c>
      <c r="C19" s="13" t="s">
        <v>10</v>
      </c>
      <c r="D19" s="22">
        <v>0.375</v>
      </c>
      <c r="E19" s="22">
        <v>0.72916666666666663</v>
      </c>
      <c r="F19" s="22">
        <v>0.32291666666666669</v>
      </c>
      <c r="G19" s="22">
        <v>0</v>
      </c>
      <c r="H19" s="26"/>
      <c r="I19" s="28"/>
    </row>
    <row r="20" spans="1:9" ht="18" customHeight="1">
      <c r="A20" s="21">
        <f t="shared" si="1"/>
        <v>44758</v>
      </c>
      <c r="B20" s="17">
        <f t="shared" si="0"/>
        <v>7</v>
      </c>
      <c r="C20" s="23"/>
      <c r="D20" s="24"/>
      <c r="E20" s="24"/>
      <c r="F20" s="24"/>
      <c r="G20" s="24"/>
      <c r="H20" s="27"/>
      <c r="I20" s="28"/>
    </row>
    <row r="21" spans="1:9" ht="18" customHeight="1">
      <c r="A21" s="21">
        <f t="shared" si="1"/>
        <v>44759</v>
      </c>
      <c r="B21" s="17">
        <f t="shared" si="0"/>
        <v>1</v>
      </c>
      <c r="C21" s="23"/>
      <c r="D21" s="24"/>
      <c r="E21" s="24"/>
      <c r="F21" s="24"/>
      <c r="G21" s="24"/>
      <c r="H21" s="27"/>
      <c r="I21" s="28"/>
    </row>
    <row r="22" spans="1:9" ht="18" customHeight="1">
      <c r="A22" s="21">
        <f t="shared" si="1"/>
        <v>44760</v>
      </c>
      <c r="B22" s="17">
        <f t="shared" si="0"/>
        <v>2</v>
      </c>
      <c r="C22" s="23"/>
      <c r="D22" s="24"/>
      <c r="E22" s="24"/>
      <c r="F22" s="24"/>
      <c r="G22" s="24"/>
      <c r="H22" s="27"/>
      <c r="I22" s="28"/>
    </row>
    <row r="23" spans="1:9" ht="18" customHeight="1">
      <c r="A23" s="21">
        <f t="shared" si="1"/>
        <v>44761</v>
      </c>
      <c r="B23" s="17">
        <f t="shared" si="0"/>
        <v>3</v>
      </c>
      <c r="C23" s="13" t="s">
        <v>10</v>
      </c>
      <c r="D23" s="22">
        <v>0.375</v>
      </c>
      <c r="E23" s="22" t="s">
        <v>55</v>
      </c>
      <c r="F23" s="22">
        <v>0.38541666666666669</v>
      </c>
      <c r="G23" s="22">
        <v>6.25E-2</v>
      </c>
      <c r="H23" s="26"/>
      <c r="I23" s="28"/>
    </row>
    <row r="24" spans="1:9" ht="18" customHeight="1">
      <c r="A24" s="21">
        <f t="shared" si="1"/>
        <v>44762</v>
      </c>
      <c r="B24" s="17">
        <f t="shared" si="0"/>
        <v>4</v>
      </c>
      <c r="C24" s="13" t="s">
        <v>10</v>
      </c>
      <c r="D24" s="32">
        <v>0.375</v>
      </c>
      <c r="E24" s="32">
        <v>0.72916666666666663</v>
      </c>
      <c r="F24" s="32">
        <v>0.32291666666666669</v>
      </c>
      <c r="G24" s="22">
        <v>0</v>
      </c>
      <c r="H24" s="26"/>
      <c r="I24" s="28"/>
    </row>
    <row r="25" spans="1:9" ht="18" customHeight="1">
      <c r="A25" s="21">
        <f t="shared" si="1"/>
        <v>44763</v>
      </c>
      <c r="B25" s="17">
        <f t="shared" si="0"/>
        <v>5</v>
      </c>
      <c r="C25" s="13" t="s">
        <v>10</v>
      </c>
      <c r="D25" s="32">
        <v>0.375</v>
      </c>
      <c r="E25" s="32">
        <v>0.79166666666666663</v>
      </c>
      <c r="F25" s="32">
        <v>0.36458333333333331</v>
      </c>
      <c r="G25" s="22">
        <v>4.1666666666666664E-2</v>
      </c>
      <c r="H25" s="26"/>
      <c r="I25" s="28"/>
    </row>
    <row r="26" spans="1:9" ht="18" customHeight="1">
      <c r="A26" s="21">
        <f t="shared" si="1"/>
        <v>44764</v>
      </c>
      <c r="B26" s="17">
        <f t="shared" si="0"/>
        <v>6</v>
      </c>
      <c r="C26" s="13" t="s">
        <v>10</v>
      </c>
      <c r="D26" s="32">
        <v>0.375</v>
      </c>
      <c r="E26" s="32">
        <v>0.72916666666666663</v>
      </c>
      <c r="F26" s="32">
        <v>0.32291666666666669</v>
      </c>
      <c r="G26" s="22">
        <v>0</v>
      </c>
      <c r="H26" s="26"/>
      <c r="I26" s="28"/>
    </row>
    <row r="27" spans="1:9" ht="18" customHeight="1">
      <c r="A27" s="21">
        <f t="shared" si="1"/>
        <v>44765</v>
      </c>
      <c r="B27" s="17">
        <f t="shared" si="0"/>
        <v>7</v>
      </c>
      <c r="C27" s="23"/>
      <c r="D27" s="24"/>
      <c r="E27" s="24"/>
      <c r="F27" s="24"/>
      <c r="G27" s="24"/>
      <c r="H27" s="27"/>
      <c r="I27" s="28"/>
    </row>
    <row r="28" spans="1:9" ht="18" customHeight="1">
      <c r="A28" s="21">
        <f t="shared" si="1"/>
        <v>44766</v>
      </c>
      <c r="B28" s="17">
        <f t="shared" si="0"/>
        <v>1</v>
      </c>
      <c r="C28" s="23"/>
      <c r="D28" s="24"/>
      <c r="E28" s="24"/>
      <c r="F28" s="24"/>
      <c r="G28" s="24"/>
      <c r="H28" s="27"/>
      <c r="I28" s="28"/>
    </row>
    <row r="29" spans="1:9" ht="18" customHeight="1">
      <c r="A29" s="21">
        <f t="shared" si="1"/>
        <v>44767</v>
      </c>
      <c r="B29" s="17">
        <f t="shared" si="0"/>
        <v>2</v>
      </c>
      <c r="C29" s="13" t="s">
        <v>10</v>
      </c>
      <c r="D29" s="22">
        <v>0.375</v>
      </c>
      <c r="E29" s="22">
        <v>0.72916666666666663</v>
      </c>
      <c r="F29" s="22">
        <v>0.32291666666666669</v>
      </c>
      <c r="G29" s="22">
        <v>0</v>
      </c>
      <c r="H29" s="26"/>
      <c r="I29" s="28"/>
    </row>
    <row r="30" spans="1:9" ht="18" customHeight="1">
      <c r="A30" s="21">
        <f t="shared" si="1"/>
        <v>44768</v>
      </c>
      <c r="B30" s="17">
        <f t="shared" si="0"/>
        <v>3</v>
      </c>
      <c r="C30" s="13"/>
      <c r="D30" s="22"/>
      <c r="E30" s="22"/>
      <c r="F30" s="22"/>
      <c r="G30" s="22"/>
      <c r="H30" s="26" t="s">
        <v>56</v>
      </c>
      <c r="I30" s="28"/>
    </row>
    <row r="31" spans="1:9" ht="18" customHeight="1">
      <c r="A31" s="21">
        <f t="shared" si="1"/>
        <v>44769</v>
      </c>
      <c r="B31" s="17">
        <f t="shared" si="0"/>
        <v>4</v>
      </c>
      <c r="C31" s="13" t="s">
        <v>10</v>
      </c>
      <c r="D31" s="22">
        <v>0.375</v>
      </c>
      <c r="E31" s="22">
        <v>0.72916666666666663</v>
      </c>
      <c r="F31" s="22">
        <v>0.32291666666666669</v>
      </c>
      <c r="G31" s="22">
        <v>0</v>
      </c>
      <c r="H31" s="26"/>
      <c r="I31" s="28"/>
    </row>
    <row r="32" spans="1:9" ht="18" customHeight="1">
      <c r="A32" s="21">
        <f t="shared" si="1"/>
        <v>44770</v>
      </c>
      <c r="B32" s="17">
        <f t="shared" si="0"/>
        <v>5</v>
      </c>
      <c r="C32" s="13" t="s">
        <v>10</v>
      </c>
      <c r="D32" s="22">
        <v>0.375</v>
      </c>
      <c r="E32" s="22">
        <v>0.72916666666666663</v>
      </c>
      <c r="F32" s="22">
        <v>0.32291666666666669</v>
      </c>
      <c r="G32" s="22">
        <v>0</v>
      </c>
      <c r="H32" s="26"/>
      <c r="I32" s="28"/>
    </row>
    <row r="33" spans="1:10" ht="18" customHeight="1">
      <c r="A33" s="21">
        <f t="shared" si="1"/>
        <v>44771</v>
      </c>
      <c r="B33" s="17">
        <f t="shared" si="0"/>
        <v>6</v>
      </c>
      <c r="C33" s="13" t="s">
        <v>10</v>
      </c>
      <c r="D33" s="22">
        <v>0.375</v>
      </c>
      <c r="E33" s="22">
        <v>0.5</v>
      </c>
      <c r="F33" s="22">
        <v>0.125</v>
      </c>
      <c r="G33" s="22">
        <v>0</v>
      </c>
      <c r="H33" s="26" t="s">
        <v>59</v>
      </c>
      <c r="I33" s="28"/>
    </row>
    <row r="34" spans="1:10" ht="18" customHeight="1">
      <c r="A34" s="21">
        <f t="shared" si="1"/>
        <v>44772</v>
      </c>
      <c r="B34" s="17">
        <f t="shared" si="0"/>
        <v>7</v>
      </c>
      <c r="C34" s="23"/>
      <c r="D34" s="24"/>
      <c r="E34" s="24"/>
      <c r="F34" s="24"/>
      <c r="G34" s="24"/>
      <c r="H34" s="27"/>
      <c r="I34" s="28"/>
    </row>
    <row r="35" spans="1:10" ht="18" customHeight="1">
      <c r="A35" s="21"/>
      <c r="B35" s="17"/>
      <c r="C35" s="13"/>
      <c r="D35" s="22"/>
      <c r="E35" s="22"/>
      <c r="F35" s="22"/>
      <c r="G35" s="22"/>
      <c r="H35" s="26"/>
      <c r="I35" s="28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5.916666666666667</v>
      </c>
      <c r="G36" s="19">
        <f>SUM(G5:G35)</f>
        <v>0.24999999999999997</v>
      </c>
      <c r="H36" s="20"/>
      <c r="I36" s="29"/>
      <c r="J36" s="16"/>
    </row>
    <row r="37" spans="1:10">
      <c r="I37" s="28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17" priority="8">
      <formula>WEEKDAY($B5)=7</formula>
    </cfRule>
    <cfRule type="expression" dxfId="16" priority="9">
      <formula>WEEKDAY($B5)=1</formula>
    </cfRule>
  </conditionalFormatting>
  <conditionalFormatting sqref="B6:B33">
    <cfRule type="expression" dxfId="15" priority="6">
      <formula>WEEKDAY($B6)=7</formula>
    </cfRule>
    <cfRule type="expression" dxfId="14" priority="7">
      <formula>WEEKDAY($B6)=1</formula>
    </cfRule>
  </conditionalFormatting>
  <conditionalFormatting sqref="B34:B35">
    <cfRule type="expression" dxfId="13" priority="4">
      <formula>WEEKDAY($B34)=7</formula>
    </cfRule>
    <cfRule type="expression" dxfId="12" priority="5">
      <formula>WEEKDAY($B34)=1</formula>
    </cfRule>
  </conditionalFormatting>
  <conditionalFormatting sqref="E24:F24">
    <cfRule type="timePeriod" dxfId="11" priority="3" timePeriod="lastMonth">
      <formula>AND(MONTH(E24)=MONTH(EDATE(TODAY(),0-1)),YEAR(E24)=YEAR(EDATE(TODAY(),0-1)))</formula>
    </cfRule>
  </conditionalFormatting>
  <conditionalFormatting sqref="E25:F25">
    <cfRule type="timePeriod" dxfId="10" priority="2" timePeriod="lastMonth">
      <formula>AND(MONTH(E25)=MONTH(EDATE(TODAY(),0-1)),YEAR(E25)=YEAR(EDATE(TODAY(),0-1)))</formula>
    </cfRule>
  </conditionalFormatting>
  <conditionalFormatting sqref="E26:F26">
    <cfRule type="timePeriod" dxfId="9" priority="1" timePeriod="lastMonth">
      <formula>AND(MONTH(E26)=MONTH(EDATE(TODAY(),0-1)),YEAR(E26)=YEAR(EDATE(TODAY(),0-1)))</formula>
    </cfRule>
  </conditionalFormatting>
  <dataValidations count="1">
    <dataValidation type="list" allowBlank="1" showInputMessage="1" showErrorMessage="1" sqref="C5:C35" xr:uid="{62AC0165-40C2-4017-9255-D661E8CA8812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A8CD2C9F92856449469ED4268241ED0" ma:contentTypeVersion="5" ma:contentTypeDescription="新しいドキュメントを作成します。" ma:contentTypeScope="" ma:versionID="9e586d10f8a68b71924f7ff55ec61102">
  <xsd:schema xmlns:xsd="http://www.w3.org/2001/XMLSchema" xmlns:xs="http://www.w3.org/2001/XMLSchema" xmlns:p="http://schemas.microsoft.com/office/2006/metadata/properties" xmlns:ns3="3b3730eb-4ed8-4756-99e4-5d8f484c7f9e" xmlns:ns4="e089d977-8b5f-4e99-a6d6-1382d14138b5" targetNamespace="http://schemas.microsoft.com/office/2006/metadata/properties" ma:root="true" ma:fieldsID="6b63ed43436d12c4cd52f0d4150d6390" ns3:_="" ns4:_="">
    <xsd:import namespace="3b3730eb-4ed8-4756-99e4-5d8f484c7f9e"/>
    <xsd:import namespace="e089d977-8b5f-4e99-a6d6-1382d14138b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3730eb-4ed8-4756-99e4-5d8f484c7f9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9d977-8b5f-4e99-a6d6-1382d1413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b3730eb-4ed8-4756-99e4-5d8f484c7f9e">
      <UserInfo>
        <DisplayName/>
        <AccountId xsi:nil="true"/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FEF5D06-0CF1-484C-9482-784B59DB61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3730eb-4ed8-4756-99e4-5d8f484c7f9e"/>
    <ds:schemaRef ds:uri="e089d977-8b5f-4e99-a6d6-1382d1413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6345D3-E9CE-4E37-B8F7-BF1F8C79EA80}">
  <ds:schemaRefs>
    <ds:schemaRef ds:uri="http://schemas.microsoft.com/office/2006/documentManagement/types"/>
    <ds:schemaRef ds:uri="3b3730eb-4ed8-4756-99e4-5d8f484c7f9e"/>
    <ds:schemaRef ds:uri="e089d977-8b5f-4e99-a6d6-1382d14138b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501ECC8-7611-4D55-828B-D702DBC479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勤務表_祁庚浩</vt:lpstr>
      <vt:lpstr>勤務表_二瓶 (2)</vt:lpstr>
      <vt:lpstr>勤務表_伊藤義 (2)</vt:lpstr>
      <vt:lpstr>勤務表_波形 (2)</vt:lpstr>
      <vt:lpstr>勤務表_本多 (2)</vt:lpstr>
      <vt:lpstr>勤務表_嘉味田</vt:lpstr>
      <vt:lpstr>【参考情報】勤務時間等</vt:lpstr>
      <vt:lpstr>【フォーマット】勤務表_○○</vt:lpstr>
      <vt:lpstr>勤務表_○○（記載例）</vt:lpstr>
      <vt:lpstr>'勤務表_○○（記載例）'!Print_Area</vt:lpstr>
      <vt:lpstr>'勤務表_伊藤義 (2)'!Print_Area</vt:lpstr>
      <vt:lpstr>勤務表_嘉味田!Print_Area</vt:lpstr>
      <vt:lpstr>勤務表_祁庚浩!Print_Area</vt:lpstr>
      <vt:lpstr>'勤務表_二瓶 (2)'!Print_Area</vt:lpstr>
      <vt:lpstr>'勤務表_波形 (2)'!Print_Area</vt:lpstr>
      <vt:lpstr>'勤務表_本多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Hitachi</dc:creator>
  <cp:keywords/>
  <dc:description/>
  <cp:lastModifiedBy>祁庚浩 / KI，KOUKOU</cp:lastModifiedBy>
  <cp:revision/>
  <dcterms:created xsi:type="dcterms:W3CDTF">2010-06-07T01:09:05Z</dcterms:created>
  <dcterms:modified xsi:type="dcterms:W3CDTF">2023-03-29T04:52:26Z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0x0101002A8CD2C9F92856449469ED4268241ED0</vt:lpwstr>
  </property>
  <property fmtid="{D5CDD505-2E9C-101B-9397-08002B2CF9AE}" pid="3" name="Order">
    <vt:r8>34498300</vt:r8>
  </property>
</Properties>
</file>